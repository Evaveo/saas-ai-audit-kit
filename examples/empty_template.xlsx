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01_Produit_UX" sheetId="3" state="visible" r:id="rId3"/>
    <sheet xmlns:r="http://schemas.openxmlformats.org/officeDocument/2006/relationships" name="02_Securite_Auth" sheetId="4" state="visible" r:id="rId4"/>
    <sheet xmlns:r="http://schemas.openxmlformats.org/officeDocument/2006/relationships" name="03_Donnees_Confidentialite" sheetId="5" state="visible" r:id="rId5"/>
    <sheet xmlns:r="http://schemas.openxmlformats.org/officeDocument/2006/relationships" name="04_IA_Qualite" sheetId="6" state="visible" r:id="rId6"/>
    <sheet xmlns:r="http://schemas.openxmlformats.org/officeDocument/2006/relationships" name="05_IA_Couts" sheetId="7" state="visible" r:id="rId7"/>
    <sheet xmlns:r="http://schemas.openxmlformats.org/officeDocument/2006/relationships" name="06_IA_Gouvernance" sheetId="8" state="visible" r:id="rId8"/>
    <sheet xmlns:r="http://schemas.openxmlformats.org/officeDocument/2006/relationships" name="07_Architecture" sheetId="9" state="visible" r:id="rId9"/>
    <sheet xmlns:r="http://schemas.openxmlformats.org/officeDocument/2006/relationships" name="08_Paiement" sheetId="10" state="visible" r:id="rId10"/>
    <sheet xmlns:r="http://schemas.openxmlformats.org/officeDocument/2006/relationships" name="09_Observabilite" sheetId="11" state="visible" r:id="rId11"/>
    <sheet xmlns:r="http://schemas.openxmlformats.org/officeDocument/2006/relationships" name="10_Legal" sheetId="12" state="visible" r:id="rId12"/>
    <sheet xmlns:r="http://schemas.openxmlformats.org/officeDocument/2006/relationships" name="11_UX_UI_Design" sheetId="13" state="visible" r:id="rId13"/>
    <sheet xmlns:r="http://schemas.openxmlformats.org/officeDocument/2006/relationships" name="12_Frontend_Backend" sheetId="14" state="visible" r:id="rId14"/>
    <sheet xmlns:r="http://schemas.openxmlformats.org/officeDocument/2006/relationships" name="13_Documentation_Mainten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i val="1"/>
      <color rgb="0064748B"/>
      <sz val="11"/>
    </font>
    <font>
      <name val="Calibri"/>
      <b val="1"/>
      <color rgb="000F172A"/>
      <sz val="12"/>
    </font>
    <font>
      <name val="Calibri"/>
      <color rgb="00475569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sz val="11"/>
    </font>
    <font>
      <name val="Calibri"/>
      <color rgb="0047556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BBF7D0"/>
      </patternFill>
    </fill>
    <fill>
      <patternFill patternType="solid">
        <fgColor rgb="00FECAC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7" fillId="6" borderId="1" pivotButton="0" quotePrefix="0" xfId="0"/>
    <xf numFmtId="9" fontId="3" fillId="6" borderId="1" pivotButton="0" quotePrefix="0" xfId="0"/>
    <xf numFmtId="0" fontId="7" fillId="0" borderId="0" pivotButton="0" quotePrefix="0" xfId="0"/>
    <xf numFmtId="0" fontId="9" fillId="7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ill>
        <patternFill patternType="solid">
          <fgColor rgb="00BBF7D0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CACA"/>
        </patternFill>
      </fill>
    </dxf>
    <dxf>
      <fill>
        <patternFill patternType="solid">
          <f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Grille d'audit SaaS + IA</t>
        </is>
      </c>
    </row>
    <row r="2">
      <c r="A2" s="2" t="inlineStr">
        <is>
          <t>Cadre réutilisable pour auditer n'importe quel SaaS qui intègre de l'IA.</t>
        </is>
      </c>
    </row>
    <row r="4">
      <c r="A4" s="3" t="inlineStr">
        <is>
          <t>Méthode</t>
        </is>
      </c>
    </row>
    <row r="5">
      <c r="B5" s="4" t="inlineStr">
        <is>
          <t>• Chaque onglet = un thème de l'audit (12 thèmes).</t>
        </is>
      </c>
    </row>
    <row r="6">
      <c r="B6" s="4" t="inlineStr">
        <is>
          <t>• Score : OK / KO / N/A (dropdown sur la colonne Score).</t>
        </is>
      </c>
    </row>
    <row r="7">
      <c r="B7" s="4" t="inlineStr">
        <is>
          <t>• La feuille 'Synthèse' agrège automatiquement les scores.</t>
        </is>
      </c>
    </row>
    <row r="9">
      <c r="A9" s="3" t="inlineStr">
        <is>
          <t>Légende criticité</t>
        </is>
      </c>
    </row>
    <row r="10">
      <c r="A10" s="4" t="inlineStr">
        <is>
          <t>🔴</t>
        </is>
      </c>
      <c r="B10" s="4" t="inlineStr">
        <is>
          <t>Bloquant launch — fixer avant ouverture publique</t>
        </is>
      </c>
    </row>
    <row r="11">
      <c r="A11" s="4" t="inlineStr">
        <is>
          <t>🟡</t>
        </is>
      </c>
      <c r="B11" s="4" t="inlineStr">
        <is>
          <t>Important — à corriger sous 30 jours</t>
        </is>
      </c>
    </row>
    <row r="12">
      <c r="A12" s="4" t="inlineStr">
        <is>
          <t>🟢</t>
        </is>
      </c>
      <c r="B12" s="4" t="inlineStr">
        <is>
          <t>Amélioration continue — nice to have</t>
        </is>
      </c>
    </row>
    <row r="14">
      <c r="A14" s="3" t="inlineStr">
        <is>
          <t>Seuils de décision</t>
        </is>
      </c>
    </row>
    <row r="15">
      <c r="A15" s="4" t="inlineStr">
        <is>
          <t>&gt; 90%</t>
        </is>
      </c>
      <c r="B15" s="4" t="inlineStr">
        <is>
          <t>Ready to scale — focus growth</t>
        </is>
      </c>
    </row>
    <row r="16">
      <c r="A16" s="4" t="inlineStr">
        <is>
          <t>80-90%</t>
        </is>
      </c>
      <c r="B16" s="4" t="inlineStr">
        <is>
          <t>Ready to launch — fix les 🟡 sous 30j</t>
        </is>
      </c>
    </row>
    <row r="17">
      <c r="A17" s="4" t="inlineStr">
        <is>
          <t>65-80%</t>
        </is>
      </c>
      <c r="B17" s="4" t="inlineStr">
        <is>
          <t>Ready bêta privée — fix tous les 🔴</t>
        </is>
      </c>
    </row>
    <row r="18">
      <c r="A18" s="4" t="inlineStr">
        <is>
          <t>&lt; 65%</t>
        </is>
      </c>
      <c r="B18" s="4" t="inlineStr">
        <is>
          <t>Pas prêt pour la prod</t>
        </is>
      </c>
    </row>
    <row r="20">
      <c r="A20" s="3" t="inlineStr">
        <is>
          <t>Ordre d'attaque</t>
        </is>
      </c>
    </row>
    <row r="21">
      <c r="A21" s="4" t="inlineStr">
        <is>
          <t>1.</t>
        </is>
      </c>
      <c r="B21" s="4" t="inlineStr">
        <is>
          <t>Tous les 🔴 d'abord (bloquants)</t>
        </is>
      </c>
    </row>
    <row r="22">
      <c r="A22" s="4" t="inlineStr">
        <is>
          <t>2.</t>
        </is>
      </c>
      <c r="B22" s="4" t="inlineStr">
        <is>
          <t>Légal + Données (risque pénal / régulateur)</t>
        </is>
      </c>
    </row>
    <row r="23">
      <c r="A23" s="4" t="inlineStr">
        <is>
          <t>3.</t>
        </is>
      </c>
      <c r="B23" s="4" t="inlineStr">
        <is>
          <t>Sécurité (risque incident)</t>
        </is>
      </c>
    </row>
    <row r="24">
      <c r="A24" s="4" t="inlineStr">
        <is>
          <t>4.</t>
        </is>
      </c>
      <c r="B24" s="4" t="inlineStr">
        <is>
          <t>IA Coûts + Gouvernance (risque facture / image)</t>
        </is>
      </c>
    </row>
    <row r="25">
      <c r="A25" s="4" t="inlineStr">
        <is>
          <t>5.</t>
        </is>
      </c>
      <c r="B25" s="4" t="inlineStr">
        <is>
          <t>Le reste : amélioration continue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</cols>
  <sheetData>
    <row r="1" ht="28" customHeight="1">
      <c r="A1" s="1" t="inlineStr">
        <is>
          <t>Synthèse de l'audit</t>
        </is>
      </c>
    </row>
    <row r="2">
      <c r="A2" s="2" t="inlineStr">
        <is>
          <t>Scores agrégés par thème. Le score = (OK) / (OK + KO) — les N/A et les vides ne comptent pas.</t>
        </is>
      </c>
    </row>
    <row r="4" ht="24" customHeight="1">
      <c r="A4" s="5" t="inlineStr">
        <is>
          <t>#</t>
        </is>
      </c>
      <c r="B4" s="5" t="inlineStr">
        <is>
          <t>Thème</t>
        </is>
      </c>
      <c r="C4" s="5" t="inlineStr">
        <is>
          <t>🔴 Bloquants</t>
        </is>
      </c>
      <c r="D4" s="5" t="inlineStr">
        <is>
          <t>🟡 Important</t>
        </is>
      </c>
      <c r="E4" s="5" t="inlineStr">
        <is>
          <t>🟢 Polish</t>
        </is>
      </c>
      <c r="F4" s="5" t="inlineStr">
        <is>
          <t>OK</t>
        </is>
      </c>
      <c r="G4" s="5" t="inlineStr">
        <is>
          <t>KO</t>
        </is>
      </c>
      <c r="H4" s="5" t="inlineStr">
        <is>
          <t>N/A</t>
        </is>
      </c>
      <c r="I4" s="5" t="inlineStr">
        <is>
          <t>Score %</t>
        </is>
      </c>
    </row>
    <row r="5">
      <c r="A5" s="6" t="n">
        <v>1</v>
      </c>
      <c r="B5" s="7" t="inlineStr">
        <is>
          <t>1. Produit &amp; UX</t>
        </is>
      </c>
      <c r="C5" s="8">
        <f>COUNTIF('01_Produit_UX'!$E$5:$E$200,"🔴")</f>
        <v/>
      </c>
      <c r="D5" s="9">
        <f>COUNTIF('01_Produit_UX'!$E$5:$E$200,"🟡")</f>
        <v/>
      </c>
      <c r="E5" s="10">
        <f>COUNTIF('01_Produit_UX'!$E$5:$E$200,"🟢")</f>
        <v/>
      </c>
      <c r="F5" s="6">
        <f>COUNTIF('01_Produit_UX'!$G$5:$G$200,"OK")</f>
        <v/>
      </c>
      <c r="G5" s="6">
        <f>COUNTIF('01_Produit_UX'!$G$5:$G$200,"KO")</f>
        <v/>
      </c>
      <c r="H5" s="6">
        <f>COUNTIF('01_Produit_UX'!$G$5:$G$200,"N/A")</f>
        <v/>
      </c>
      <c r="I5" s="11">
        <f>IF((F5+G5)=0,"",F5/(F5+G5))</f>
        <v/>
      </c>
    </row>
    <row r="6">
      <c r="A6" s="6" t="n">
        <v>2</v>
      </c>
      <c r="B6" s="7" t="inlineStr">
        <is>
          <t>2. Sécurité &amp; Auth</t>
        </is>
      </c>
      <c r="C6" s="8">
        <f>COUNTIF('02_Securite_Auth'!$E$5:$E$200,"🔴")</f>
        <v/>
      </c>
      <c r="D6" s="9">
        <f>COUNTIF('02_Securite_Auth'!$E$5:$E$200,"🟡")</f>
        <v/>
      </c>
      <c r="E6" s="10">
        <f>COUNTIF('02_Securite_Auth'!$E$5:$E$200,"🟢")</f>
        <v/>
      </c>
      <c r="F6" s="6">
        <f>COUNTIF('02_Securite_Auth'!$G$5:$G$200,"OK")</f>
        <v/>
      </c>
      <c r="G6" s="6">
        <f>COUNTIF('02_Securite_Auth'!$G$5:$G$200,"KO")</f>
        <v/>
      </c>
      <c r="H6" s="6">
        <f>COUNTIF('02_Securite_Auth'!$G$5:$G$200,"N/A")</f>
        <v/>
      </c>
      <c r="I6" s="11">
        <f>IF((F6+G6)=0,"",F6/(F6+G6))</f>
        <v/>
      </c>
    </row>
    <row r="7">
      <c r="A7" s="6" t="n">
        <v>3</v>
      </c>
      <c r="B7" s="7" t="inlineStr">
        <is>
          <t>3. Données &amp; Confidentialité</t>
        </is>
      </c>
      <c r="C7" s="8">
        <f>COUNTIF('03_Donnees_Confidentialite'!$E$5:$E$200,"🔴")</f>
        <v/>
      </c>
      <c r="D7" s="9">
        <f>COUNTIF('03_Donnees_Confidentialite'!$E$5:$E$200,"🟡")</f>
        <v/>
      </c>
      <c r="E7" s="10">
        <f>COUNTIF('03_Donnees_Confidentialite'!$E$5:$E$200,"🟢")</f>
        <v/>
      </c>
      <c r="F7" s="6">
        <f>COUNTIF('03_Donnees_Confidentialite'!$G$5:$G$200,"OK")</f>
        <v/>
      </c>
      <c r="G7" s="6">
        <f>COUNTIF('03_Donnees_Confidentialite'!$G$5:$G$200,"KO")</f>
        <v/>
      </c>
      <c r="H7" s="6">
        <f>COUNTIF('03_Donnees_Confidentialite'!$G$5:$G$200,"N/A")</f>
        <v/>
      </c>
      <c r="I7" s="11">
        <f>IF((F7+G7)=0,"",F7/(F7+G7))</f>
        <v/>
      </c>
    </row>
    <row r="8">
      <c r="A8" s="6" t="n">
        <v>4</v>
      </c>
      <c r="B8" s="7" t="inlineStr">
        <is>
          <t>4. IA — Pertinence &amp; Qualité</t>
        </is>
      </c>
      <c r="C8" s="8">
        <f>COUNTIF('04_IA_Qualite'!$E$5:$E$200,"🔴")</f>
        <v/>
      </c>
      <c r="D8" s="9">
        <f>COUNTIF('04_IA_Qualite'!$E$5:$E$200,"🟡")</f>
        <v/>
      </c>
      <c r="E8" s="10">
        <f>COUNTIF('04_IA_Qualite'!$E$5:$E$200,"🟢")</f>
        <v/>
      </c>
      <c r="F8" s="6">
        <f>COUNTIF('04_IA_Qualite'!$G$5:$G$200,"OK")</f>
        <v/>
      </c>
      <c r="G8" s="6">
        <f>COUNTIF('04_IA_Qualite'!$G$5:$G$200,"KO")</f>
        <v/>
      </c>
      <c r="H8" s="6">
        <f>COUNTIF('04_IA_Qualite'!$G$5:$G$200,"N/A")</f>
        <v/>
      </c>
      <c r="I8" s="11">
        <f>IF((F8+G8)=0,"",F8/(F8+G8))</f>
        <v/>
      </c>
    </row>
    <row r="9">
      <c r="A9" s="6" t="n">
        <v>5</v>
      </c>
      <c r="B9" s="7" t="inlineStr">
        <is>
          <t>5. IA — Coûts &amp; Limites</t>
        </is>
      </c>
      <c r="C9" s="8">
        <f>COUNTIF('05_IA_Couts'!$E$5:$E$200,"🔴")</f>
        <v/>
      </c>
      <c r="D9" s="9">
        <f>COUNTIF('05_IA_Couts'!$E$5:$E$200,"🟡")</f>
        <v/>
      </c>
      <c r="E9" s="10">
        <f>COUNTIF('05_IA_Couts'!$E$5:$E$200,"🟢")</f>
        <v/>
      </c>
      <c r="F9" s="6">
        <f>COUNTIF('05_IA_Couts'!$G$5:$G$200,"OK")</f>
        <v/>
      </c>
      <c r="G9" s="6">
        <f>COUNTIF('05_IA_Couts'!$G$5:$G$200,"KO")</f>
        <v/>
      </c>
      <c r="H9" s="6">
        <f>COUNTIF('05_IA_Couts'!$G$5:$G$200,"N/A")</f>
        <v/>
      </c>
      <c r="I9" s="11">
        <f>IF((F9+G9)=0,"",F9/(F9+G9))</f>
        <v/>
      </c>
    </row>
    <row r="10">
      <c r="A10" s="6" t="n">
        <v>6</v>
      </c>
      <c r="B10" s="7" t="inlineStr">
        <is>
          <t>6. IA — Gouvernance &amp; cadre légal</t>
        </is>
      </c>
      <c r="C10" s="8">
        <f>COUNTIF('06_IA_Gouvernance'!$E$5:$E$200,"🔴")</f>
        <v/>
      </c>
      <c r="D10" s="9">
        <f>COUNTIF('06_IA_Gouvernance'!$E$5:$E$200,"🟡")</f>
        <v/>
      </c>
      <c r="E10" s="10">
        <f>COUNTIF('06_IA_Gouvernance'!$E$5:$E$200,"🟢")</f>
        <v/>
      </c>
      <c r="F10" s="6">
        <f>COUNTIF('06_IA_Gouvernance'!$G$5:$G$200,"OK")</f>
        <v/>
      </c>
      <c r="G10" s="6">
        <f>COUNTIF('06_IA_Gouvernance'!$G$5:$G$200,"KO")</f>
        <v/>
      </c>
      <c r="H10" s="6">
        <f>COUNTIF('06_IA_Gouvernance'!$G$5:$G$200,"N/A")</f>
        <v/>
      </c>
      <c r="I10" s="11">
        <f>IF((F10+G10)=0,"",F10/(F10+G10))</f>
        <v/>
      </c>
    </row>
    <row r="11">
      <c r="A11" s="6" t="n">
        <v>7</v>
      </c>
      <c r="B11" s="7" t="inlineStr">
        <is>
          <t>7. Architecture &amp; Scalabilité</t>
        </is>
      </c>
      <c r="C11" s="8">
        <f>COUNTIF('07_Architecture'!$E$5:$E$200,"🔴")</f>
        <v/>
      </c>
      <c r="D11" s="9">
        <f>COUNTIF('07_Architecture'!$E$5:$E$200,"🟡")</f>
        <v/>
      </c>
      <c r="E11" s="10">
        <f>COUNTIF('07_Architecture'!$E$5:$E$200,"🟢")</f>
        <v/>
      </c>
      <c r="F11" s="6">
        <f>COUNTIF('07_Architecture'!$G$5:$G$200,"OK")</f>
        <v/>
      </c>
      <c r="G11" s="6">
        <f>COUNTIF('07_Architecture'!$G$5:$G$200,"KO")</f>
        <v/>
      </c>
      <c r="H11" s="6">
        <f>COUNTIF('07_Architecture'!$G$5:$G$200,"N/A")</f>
        <v/>
      </c>
      <c r="I11" s="11">
        <f>IF((F11+G11)=0,"",F11/(F11+G11))</f>
        <v/>
      </c>
    </row>
    <row r="12">
      <c r="A12" s="6" t="n">
        <v>8</v>
      </c>
      <c r="B12" s="7" t="inlineStr">
        <is>
          <t>8. Paiement &amp; Monétisation</t>
        </is>
      </c>
      <c r="C12" s="8">
        <f>COUNTIF('08_Paiement'!$E$5:$E$200,"🔴")</f>
        <v/>
      </c>
      <c r="D12" s="9">
        <f>COUNTIF('08_Paiement'!$E$5:$E$200,"🟡")</f>
        <v/>
      </c>
      <c r="E12" s="10">
        <f>COUNTIF('08_Paiement'!$E$5:$E$200,"🟢")</f>
        <v/>
      </c>
      <c r="F12" s="6">
        <f>COUNTIF('08_Paiement'!$G$5:$G$200,"OK")</f>
        <v/>
      </c>
      <c r="G12" s="6">
        <f>COUNTIF('08_Paiement'!$G$5:$G$200,"KO")</f>
        <v/>
      </c>
      <c r="H12" s="6">
        <f>COUNTIF('08_Paiement'!$G$5:$G$200,"N/A")</f>
        <v/>
      </c>
      <c r="I12" s="11">
        <f>IF((F12+G12)=0,"",F12/(F12+G12))</f>
        <v/>
      </c>
    </row>
    <row r="13">
      <c r="A13" s="6" t="n">
        <v>9</v>
      </c>
      <c r="B13" s="7" t="inlineStr">
        <is>
          <t>9. Observabilité &amp; Ops</t>
        </is>
      </c>
      <c r="C13" s="8">
        <f>COUNTIF('09_Observabilite'!$E$5:$E$200,"🔴")</f>
        <v/>
      </c>
      <c r="D13" s="9">
        <f>COUNTIF('09_Observabilite'!$E$5:$E$200,"🟡")</f>
        <v/>
      </c>
      <c r="E13" s="10">
        <f>COUNTIF('09_Observabilite'!$E$5:$E$200,"🟢")</f>
        <v/>
      </c>
      <c r="F13" s="6">
        <f>COUNTIF('09_Observabilite'!$G$5:$G$200,"OK")</f>
        <v/>
      </c>
      <c r="G13" s="6">
        <f>COUNTIF('09_Observabilite'!$G$5:$G$200,"KO")</f>
        <v/>
      </c>
      <c r="H13" s="6">
        <f>COUNTIF('09_Observabilite'!$G$5:$G$200,"N/A")</f>
        <v/>
      </c>
      <c r="I13" s="11">
        <f>IF((F13+G13)=0,"",F13/(F13+G13))</f>
        <v/>
      </c>
    </row>
    <row r="14">
      <c r="A14" s="6" t="n">
        <v>10</v>
      </c>
      <c r="B14" s="7" t="inlineStr">
        <is>
          <t>10. Légal &amp; Conformité</t>
        </is>
      </c>
      <c r="C14" s="8">
        <f>COUNTIF('10_Legal'!$E$5:$E$200,"🔴")</f>
        <v/>
      </c>
      <c r="D14" s="9">
        <f>COUNTIF('10_Legal'!$E$5:$E$200,"🟡")</f>
        <v/>
      </c>
      <c r="E14" s="10">
        <f>COUNTIF('10_Legal'!$E$5:$E$200,"🟢")</f>
        <v/>
      </c>
      <c r="F14" s="6">
        <f>COUNTIF('10_Legal'!$G$5:$G$200,"OK")</f>
        <v/>
      </c>
      <c r="G14" s="6">
        <f>COUNTIF('10_Legal'!$G$5:$G$200,"KO")</f>
        <v/>
      </c>
      <c r="H14" s="6">
        <f>COUNTIF('10_Legal'!$G$5:$G$200,"N/A")</f>
        <v/>
      </c>
      <c r="I14" s="11">
        <f>IF((F14+G14)=0,"",F14/(F14+G14))</f>
        <v/>
      </c>
    </row>
    <row r="15">
      <c r="A15" s="6" t="n">
        <v>11</v>
      </c>
      <c r="B15" s="7" t="inlineStr">
        <is>
          <t>11. UX/UI — Qualité de design</t>
        </is>
      </c>
      <c r="C15" s="8">
        <f>COUNTIF('11_UX_UI_Design'!$E$5:$E$200,"🔴")</f>
        <v/>
      </c>
      <c r="D15" s="9">
        <f>COUNTIF('11_UX_UI_Design'!$E$5:$E$200,"🟡")</f>
        <v/>
      </c>
      <c r="E15" s="10">
        <f>COUNTIF('11_UX_UI_Design'!$E$5:$E$200,"🟢")</f>
        <v/>
      </c>
      <c r="F15" s="6">
        <f>COUNTIF('11_UX_UI_Design'!$G$5:$G$200,"OK")</f>
        <v/>
      </c>
      <c r="G15" s="6">
        <f>COUNTIF('11_UX_UI_Design'!$G$5:$G$200,"KO")</f>
        <v/>
      </c>
      <c r="H15" s="6">
        <f>COUNTIF('11_UX_UI_Design'!$G$5:$G$200,"N/A")</f>
        <v/>
      </c>
      <c r="I15" s="11">
        <f>IF((F15+G15)=0,"",F15/(F15+G15))</f>
        <v/>
      </c>
    </row>
    <row r="16">
      <c r="A16" s="6" t="n">
        <v>12</v>
      </c>
      <c r="B16" s="7" t="inlineStr">
        <is>
          <t>12. Frontend ↔ Backend</t>
        </is>
      </c>
      <c r="C16" s="8">
        <f>COUNTIF('12_Frontend_Backend'!$E$5:$E$200,"🔴")</f>
        <v/>
      </c>
      <c r="D16" s="9">
        <f>COUNTIF('12_Frontend_Backend'!$E$5:$E$200,"🟡")</f>
        <v/>
      </c>
      <c r="E16" s="10">
        <f>COUNTIF('12_Frontend_Backend'!$E$5:$E$200,"🟢")</f>
        <v/>
      </c>
      <c r="F16" s="6">
        <f>COUNTIF('12_Frontend_Backend'!$G$5:$G$200,"OK")</f>
        <v/>
      </c>
      <c r="G16" s="6">
        <f>COUNTIF('12_Frontend_Backend'!$G$5:$G$200,"KO")</f>
        <v/>
      </c>
      <c r="H16" s="6">
        <f>COUNTIF('12_Frontend_Backend'!$G$5:$G$200,"N/A")</f>
        <v/>
      </c>
      <c r="I16" s="11">
        <f>IF((F16+G16)=0,"",F16/(F16+G16))</f>
        <v/>
      </c>
    </row>
    <row r="17">
      <c r="A17" s="6" t="n">
        <v>13</v>
      </c>
      <c r="B17" s="7" t="inlineStr">
        <is>
          <t>13. Documentation &amp; Maintenance</t>
        </is>
      </c>
      <c r="C17" s="8">
        <f>COUNTIF('13_Documentation_Maintenance'!$E$5:$E$200,"🔴")</f>
        <v/>
      </c>
      <c r="D17" s="9">
        <f>COUNTIF('13_Documentation_Maintenance'!$E$5:$E$200,"🟡")</f>
        <v/>
      </c>
      <c r="E17" s="10">
        <f>COUNTIF('13_Documentation_Maintenance'!$E$5:$E$200,"🟢")</f>
        <v/>
      </c>
      <c r="F17" s="6">
        <f>COUNTIF('13_Documentation_Maintenance'!$G$5:$G$200,"OK")</f>
        <v/>
      </c>
      <c r="G17" s="6">
        <f>COUNTIF('13_Documentation_Maintenance'!$G$5:$G$200,"KO")</f>
        <v/>
      </c>
      <c r="H17" s="6">
        <f>COUNTIF('13_Documentation_Maintenance'!$G$5:$G$200,"N/A")</f>
        <v/>
      </c>
      <c r="I17" s="11">
        <f>IF((F17+G17)=0,"",F17/(F17+G17))</f>
        <v/>
      </c>
    </row>
    <row r="18">
      <c r="A18" s="12" t="n"/>
      <c r="B18" s="13" t="inlineStr">
        <is>
          <t>TOTAL</t>
        </is>
      </c>
      <c r="C18" s="13">
        <f>SUM(C5:C17)</f>
        <v/>
      </c>
      <c r="D18" s="13">
        <f>SUM(D5:D17)</f>
        <v/>
      </c>
      <c r="E18" s="13">
        <f>SUM(E5:E17)</f>
        <v/>
      </c>
      <c r="F18" s="13">
        <f>SUM(F5:F17)</f>
        <v/>
      </c>
      <c r="G18" s="13">
        <f>SUM(G5:G17)</f>
        <v/>
      </c>
      <c r="H18" s="13">
        <f>SUM(H5:H17)</f>
        <v/>
      </c>
      <c r="I18" s="14">
        <f>IF((F18+G18)=0,"",F18/(F18+G18))</f>
        <v/>
      </c>
    </row>
    <row r="21">
      <c r="B21" s="15" t="inlineStr">
        <is>
          <t>Seuils</t>
        </is>
      </c>
    </row>
    <row r="22">
      <c r="B22" s="16" t="inlineStr">
        <is>
          <t>&gt; 90%</t>
        </is>
      </c>
      <c r="C22" s="4" t="inlineStr">
        <is>
          <t>Ready to scale — focus growth</t>
        </is>
      </c>
    </row>
    <row r="23">
      <c r="B23" s="17" t="inlineStr">
        <is>
          <t>80-90%</t>
        </is>
      </c>
      <c r="C23" s="4" t="inlineStr">
        <is>
          <t>Ready to launch — fix 🟡 sous 30j</t>
        </is>
      </c>
    </row>
    <row r="24">
      <c r="B24" s="17" t="inlineStr">
        <is>
          <t>65-80%</t>
        </is>
      </c>
      <c r="C24" s="4" t="inlineStr">
        <is>
          <t>Ready bêta — fix tous les 🔴</t>
        </is>
      </c>
    </row>
    <row r="25">
      <c r="B25" s="18" t="inlineStr">
        <is>
          <t>&lt; 65%</t>
        </is>
      </c>
      <c r="C25" s="4" t="inlineStr">
        <is>
          <t>Pas prêt pour la prod</t>
        </is>
      </c>
    </row>
  </sheetData>
  <mergeCells count="6">
    <mergeCell ref="C23:I23"/>
    <mergeCell ref="C22:I22"/>
    <mergeCell ref="A2:I2"/>
    <mergeCell ref="A1:I1"/>
    <mergeCell ref="C24:I24"/>
    <mergeCell ref="C25:I25"/>
  </mergeCells>
  <conditionalFormatting sqref="I5:I18">
    <cfRule type="cellIs" priority="1" operator="greaterThanOrEqual" dxfId="0">
      <formula>0.9</formula>
    </cfRule>
    <cfRule type="cellIs" priority="2" operator="between" dxfId="1">
      <formula>0.65</formula>
      <formula>0.8999</formula>
    </cfRule>
    <cfRule type="cellIs" priority="3" operator="lessThan" dxfId="2">
      <formula>0.65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1. Produit &amp; UX</t>
        </is>
      </c>
    </row>
    <row r="2">
      <c r="A2" s="2" t="inlineStr">
        <is>
          <t>Friction first-run, empty states, accessibilité de base, mobile, social meta.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1.1</t>
        </is>
      </c>
      <c r="B5" s="19" t="inlineStr">
        <is>
          <t>Un nouvel utilisateur comprend-il l'intérêt du produit en moins d'une minute ?</t>
        </is>
      </c>
      <c r="C5" s="19" t="inlineStr">
        <is>
          <t>First-time user voit la valeur en &lt; 60 sec</t>
        </is>
      </c>
      <c r="D5" s="19" t="inlineStr">
        <is>
          <t>Inscription incognito → chrono jusqu'au 'wow moment'</t>
        </is>
      </c>
      <c r="E5" s="20" t="inlineStr">
        <is>
          <t>🔴</t>
        </is>
      </c>
      <c r="F5" s="21" t="inlineStr">
        <is>
          <t>👤</t>
        </is>
      </c>
      <c r="G5" s="22" t="inlineStr"/>
      <c r="H5" s="19" t="inlineStr">
        <is>
          <t>⚠️ Test utilisateur réel obligatoire — l'automatisation ne mesure pas la compréhension</t>
        </is>
      </c>
      <c r="I5" s="23" t="inlineStr">
        <is>
          <t>🔧 Hotjar · Maze · FullStory (freemium)
🤖 Claude : revue du parcours signup → first action. Prompt : 'Identifie les frictions sur ce parcours d'onboarding'</t>
        </is>
      </c>
    </row>
    <row r="6" ht="70" customHeight="1">
      <c r="A6" s="19" t="inlineStr">
        <is>
          <t>1.2</t>
        </is>
      </c>
      <c r="B6" s="19" t="inlineStr">
        <is>
          <t>Un compte vierge propose-t-il à l'utilisateur quoi faire en premier ?</t>
        </is>
      </c>
      <c r="C6" s="19" t="inlineStr">
        <is>
          <t>Empty state du dashboard guide l'action (pas un trou)</t>
        </is>
      </c>
      <c r="D6" s="19" t="inlineStr">
        <is>
          <t>Compte vierge → présence de cards onboarding ou CTA primaire</t>
        </is>
      </c>
      <c r="E6" s="24" t="inlineStr">
        <is>
          <t>🟡</t>
        </is>
      </c>
      <c r="F6" s="21" t="inlineStr">
        <is>
          <t>🔁</t>
        </is>
      </c>
      <c r="G6" s="22" t="inlineStr"/>
      <c r="H6" s="19" t="inlineStr"/>
      <c r="I6" s="23" t="inlineStr">
        <is>
          <t>🔧 Playwright (gratuit) · Storybook (gratuit)
🤖 Claude : audit visuel de l'empty state sur capture</t>
        </is>
      </c>
    </row>
    <row r="7" ht="70" customHeight="1">
      <c r="A7" s="19" t="inlineStr">
        <is>
          <t>1.3</t>
        </is>
      </c>
      <c r="B7" s="19" t="inlineStr">
        <is>
          <t>Les boutons disent-ils clairement ce qu'ils déclenchent ?</t>
        </is>
      </c>
      <c r="C7" s="19" t="inlineStr">
        <is>
          <t>Tous les CTA disent ce qu'ils font (pas de 'Valider' ambigu)</t>
        </is>
      </c>
      <c r="D7" s="19" t="inlineStr">
        <is>
          <t>Parcours tous les boutons → label = action backend ?</t>
        </is>
      </c>
      <c r="E7" s="24" t="inlineStr">
        <is>
          <t>🟡</t>
        </is>
      </c>
      <c r="F7" s="21" t="inlineStr">
        <is>
          <t>🔁</t>
        </is>
      </c>
      <c r="G7" s="22" t="inlineStr"/>
      <c r="H7" s="19" t="inlineStr"/>
      <c r="I7" s="23" t="inlineStr">
        <is>
          <t>🔧 grep / ripgrep sur les `&lt;button&gt;` (gratuit)
🤖 Claude : revue des labels de CTA dans le code source</t>
        </is>
      </c>
    </row>
    <row r="8" ht="70" customHeight="1">
      <c r="A8" s="19" t="inlineStr">
        <is>
          <t>1.4</t>
        </is>
      </c>
      <c r="B8" s="19" t="inlineStr">
        <is>
          <t>Quand quelque chose plante, l'utilisateur sait-il ce qui se passe et comment continuer ?</t>
        </is>
      </c>
      <c r="C8" s="19" t="inlineStr">
        <is>
          <t>Erreurs réseau/API toastent un message utilisable</t>
        </is>
      </c>
      <c r="D8" s="19" t="inlineStr">
        <is>
          <t>Couper le réseau → tester save/upload/login</t>
        </is>
      </c>
      <c r="E8" s="24" t="inlineStr">
        <is>
          <t>🟡</t>
        </is>
      </c>
      <c r="F8" s="21" t="inlineStr">
        <is>
          <t>🔁</t>
        </is>
      </c>
      <c r="G8" s="22" t="inlineStr"/>
      <c r="H8" s="19" t="inlineStr"/>
      <c r="I8" s="23" t="inlineStr">
        <is>
          <t>🔧 Playwright avec route mocking (gratuit) · Sentry (freemium)
🤖 Claude : audit des handlers d'erreur dans le code</t>
        </is>
      </c>
    </row>
    <row r="9" ht="70" customHeight="1">
      <c r="A9" s="19" t="inlineStr">
        <is>
          <t>1.5</t>
        </is>
      </c>
      <c r="B9" s="19" t="inlineStr">
        <is>
          <t>L'utilisateur sait-il toujours quand quelque chose est en train de charger ?</t>
        </is>
      </c>
      <c r="C9" s="19" t="inlineStr">
        <is>
          <t>Loading states partout (skeletons, spinners) — pas de freeze visuel</t>
        </is>
      </c>
      <c r="D9" s="19" t="inlineStr">
        <is>
          <t>Throttle réseau à Slow 3G → vérifier feedback</t>
        </is>
      </c>
      <c r="E9" s="25" t="inlineStr">
        <is>
          <t>🟢</t>
        </is>
      </c>
      <c r="F9" s="21" t="inlineStr">
        <is>
          <t>🔁</t>
        </is>
      </c>
      <c r="G9" s="22" t="inlineStr"/>
      <c r="H9" s="19" t="inlineStr"/>
      <c r="I9" s="23" t="inlineStr">
        <is>
          <t>🔧 DevTools network throttling (gratuit) · Lighthouse (gratuit)</t>
        </is>
      </c>
    </row>
    <row r="10" ht="70" customHeight="1">
      <c r="A10" s="19" t="inlineStr">
        <is>
          <t>1.6</t>
        </is>
      </c>
      <c r="B10" s="19" t="inlineStr">
        <is>
          <t>L'application est-elle utilisable confortablement sur un téléphone d'entrée de gamme ?</t>
        </is>
      </c>
      <c r="C10" s="19" t="inlineStr">
        <is>
          <t>Mobile responsive testé sur le plus petit viewport ciblé</t>
        </is>
      </c>
      <c r="D10" s="19" t="inlineStr">
        <is>
          <t>DevTools mode iPhone SE (375px) ou équivalent</t>
        </is>
      </c>
      <c r="E10" s="20" t="inlineStr">
        <is>
          <t>🔴</t>
        </is>
      </c>
      <c r="F10" s="21" t="inlineStr">
        <is>
          <t>🔁</t>
        </is>
      </c>
      <c r="G10" s="22" t="inlineStr"/>
      <c r="H10" s="19" t="inlineStr">
        <is>
          <t>⚠️ Test sur appareil réel recommandé pour le tactile</t>
        </is>
      </c>
      <c r="I10" s="23" t="inlineStr">
        <is>
          <t>🔧 Playwright multi-viewport (gratuit) · BrowserStack (payant)
🤖 Claude : revue des breakpoints CSS et media queries</t>
        </is>
      </c>
    </row>
    <row r="11" ht="70" customHeight="1">
      <c r="A11" s="19" t="inlineStr">
        <is>
          <t>1.7</t>
        </is>
      </c>
      <c r="B11" s="19" t="inlineStr">
        <is>
          <t>Quelqu'un sans souris peut-il utiliser l'application ?</t>
        </is>
      </c>
      <c r="C11" s="19" t="inlineStr">
        <is>
          <t>Tab navigation (clavier seul) fonctionne sur tous les formulaires</t>
        </is>
      </c>
      <c r="D11" s="19" t="inlineStr">
        <is>
          <t>Tab/Shift+Tab → focus visible et logique</t>
        </is>
      </c>
      <c r="E11" s="24" t="inlineStr">
        <is>
          <t>🟡</t>
        </is>
      </c>
      <c r="F11" s="21" t="inlineStr">
        <is>
          <t>🔁</t>
        </is>
      </c>
      <c r="G11" s="22" t="inlineStr"/>
      <c r="H11" s="19" t="inlineStr">
        <is>
          <t>⚠️ Test clavier réel humain irremplaçable</t>
        </is>
      </c>
      <c r="I11" s="23" t="inlineStr">
        <is>
          <t>🔧 axe DevTools (gratuit) · Lighthouse a11y (gratuit)
🤖 Claude : audit du tabindex et des focus rings</t>
        </is>
      </c>
    </row>
    <row r="12" ht="70" customHeight="1">
      <c r="A12" s="19" t="inlineStr">
        <is>
          <t>1.8</t>
        </is>
      </c>
      <c r="B12" s="19" t="inlineStr">
        <is>
          <t>Reste-t-il des textes de test ou des placeholders dans l'app ?</t>
        </is>
      </c>
      <c r="C12" s="19" t="inlineStr">
        <is>
          <t>Pas de Lorem ipsum, placeholders TODO, ou textes oubliés dans une autre langue</t>
        </is>
      </c>
      <c r="D12" s="19" t="inlineStr">
        <is>
          <t>grep `lorem`, `todo`, `tbd`, `xxx` dans le code</t>
        </is>
      </c>
      <c r="E12" s="20" t="inlineStr">
        <is>
          <t>🔴</t>
        </is>
      </c>
      <c r="F12" s="21" t="inlineStr">
        <is>
          <t>🤖</t>
        </is>
      </c>
      <c r="G12" s="22" t="inlineStr"/>
      <c r="H12" s="19" t="inlineStr"/>
      <c r="I12" s="23" t="inlineStr">
        <is>
          <t>🔧 ripgrep / ESLint custom rule (gratuit)
🤖 Claude : scan du code pour textes suspects (faux positifs filtrés par contexte)</t>
        </is>
      </c>
    </row>
    <row r="13" ht="70" customHeight="1">
      <c r="A13" s="19" t="inlineStr">
        <is>
          <t>1.9</t>
        </is>
      </c>
      <c r="B13" s="19" t="inlineStr">
        <is>
          <t>Si l'app affiche 5 langues, sont-elles toutes complètes ?</t>
        </is>
      </c>
      <c r="C13" s="19" t="inlineStr">
        <is>
          <t>i18n cohérent : tous les libellés visibles sont traduits dans toutes les langues annoncées</t>
        </is>
      </c>
      <c r="D13" s="19" t="inlineStr">
        <is>
          <t>Switch toutes les langues → screen audit</t>
        </is>
      </c>
      <c r="E13" s="24" t="inlineStr">
        <is>
          <t>🟡</t>
        </is>
      </c>
      <c r="F13" s="21" t="inlineStr">
        <is>
          <t>🔁</t>
        </is>
      </c>
      <c r="G13" s="22" t="inlineStr"/>
      <c r="H13" s="19" t="inlineStr">
        <is>
          <t>⚠️ Traduction humaine recommandée pour les marchés clés</t>
        </is>
      </c>
      <c r="I13" s="23" t="inlineStr">
        <is>
          <t>🔧 i18next-parser (gratuit) · Lokalise (payant)
🤖 Claude : traduction et adaptation culturelle des contenus + détection de clés manquantes</t>
        </is>
      </c>
    </row>
    <row r="14" ht="70" customHeight="1">
      <c r="A14" s="19" t="inlineStr">
        <is>
          <t>1.10</t>
        </is>
      </c>
      <c r="B14" s="19" t="inlineStr">
        <is>
          <t>Un utilisateur peut-il supprimer son compte ou un projet par erreur en un clic ?</t>
        </is>
      </c>
      <c r="C14" s="19" t="inlineStr">
        <is>
          <t>Confirmation pour actions destructives (suppression, paiement, opt-out)</t>
        </is>
      </c>
      <c r="D14" s="19" t="inlineStr">
        <is>
          <t>Tester chaque suppression — modal de confirmation présent ?</t>
        </is>
      </c>
      <c r="E14" s="20" t="inlineStr">
        <is>
          <t>🔴</t>
        </is>
      </c>
      <c r="F14" s="21" t="inlineStr">
        <is>
          <t>🔁</t>
        </is>
      </c>
      <c r="G14" s="22" t="inlineStr"/>
      <c r="H14" s="19" t="inlineStr"/>
      <c r="I14" s="23" t="inlineStr">
        <is>
          <t>🔧 Playwright tests parcours destructifs (gratuit)
🤖 Claude : grep des onClick.*delete|remove|destroy sans modal</t>
        </is>
      </c>
    </row>
    <row r="15" ht="70" customHeight="1">
      <c r="A15" s="19" t="inlineStr">
        <is>
          <t>1.11</t>
        </is>
      </c>
      <c r="B15" s="19" t="inlineStr">
        <is>
          <t>Les textes sont-ils lisibles pour quelqu'un avec une vision faible ?</t>
        </is>
      </c>
      <c r="C15" s="19" t="inlineStr">
        <is>
          <t>Contraste WCAG AA minimum sur les textes (4.5:1 normal, 3:1 large)</t>
        </is>
      </c>
      <c r="D15" s="19" t="inlineStr">
        <is>
          <t>Lighthouse accessibility audit</t>
        </is>
      </c>
      <c r="E15" s="24" t="inlineStr">
        <is>
          <t>🟡</t>
        </is>
      </c>
      <c r="F15" s="21" t="inlineStr">
        <is>
          <t>🤖</t>
        </is>
      </c>
      <c r="G15" s="22" t="inlineStr"/>
      <c r="H15" s="19" t="inlineStr"/>
      <c r="I15" s="23" t="inlineStr">
        <is>
          <t>🔧 Lighthouse (gratuit) · WebAIM Contrast Checker (gratuit) · Stark (freemium)</t>
        </is>
      </c>
    </row>
    <row r="16" ht="70" customHeight="1">
      <c r="A16" s="19" t="inlineStr">
        <is>
          <t>1.12</t>
        </is>
      </c>
      <c r="B16" s="19" t="inlineStr">
        <is>
          <t>Quand une page est partagée sur LinkedIn/Twitter, l'aperçu donne envie de cliquer ?</t>
        </is>
      </c>
      <c r="C16" s="19" t="inlineStr">
        <is>
          <t>Open Graph et Twitter Cards configurés sur les pages partageables</t>
        </is>
      </c>
      <c r="D16" s="19" t="inlineStr">
        <is>
          <t>Inspecter &lt;head&gt; → og:title, og:description, og:image présents + dimensions correctes</t>
        </is>
      </c>
      <c r="E16" s="25" t="inlineStr">
        <is>
          <t>🟢</t>
        </is>
      </c>
      <c r="F16" s="21" t="inlineStr">
        <is>
          <t>🤖</t>
        </is>
      </c>
      <c r="G16" s="22" t="inlineStr"/>
      <c r="H16" s="19" t="inlineStr"/>
      <c r="I16" s="23" t="inlineStr">
        <is>
          <t>🔧 Lighthouse SEO (gratuit) · OpenGraph.xyz (gratuit)</t>
        </is>
      </c>
    </row>
    <row r="17" ht="70" customHeight="1">
      <c r="A17" s="19" t="inlineStr">
        <is>
          <t>1.13</t>
        </is>
      </c>
      <c r="B17" s="19" t="inlineStr">
        <is>
          <t>L'application marche-t-elle sur tous les navigateurs courants, pas que Chrome ?</t>
        </is>
      </c>
      <c r="C17" s="19" t="inlineStr">
        <is>
          <t>Compatibilité cross-browser testée (Chrome, Firefox, Safari, Edge)</t>
        </is>
      </c>
      <c r="D17" s="19" t="inlineStr">
        <is>
          <t>Playwright en mode multi-browser ou test manuel sur les 4</t>
        </is>
      </c>
      <c r="E17" s="24" t="inlineStr">
        <is>
          <t>🟡</t>
        </is>
      </c>
      <c r="F17" s="21" t="inlineStr">
        <is>
          <t>🤖</t>
        </is>
      </c>
      <c r="G17" s="22" t="inlineStr"/>
      <c r="H17" s="19" t="inlineStr">
        <is>
          <t>⚠️ Safari en particulier a des comportements WebKit propres — test réel recommandé</t>
        </is>
      </c>
      <c r="I17" s="23" t="inlineStr">
        <is>
          <t>🔧 Playwright cross-browser (gratuit) · BrowserStack (payant pour Safari/IE legacy)</t>
        </is>
      </c>
    </row>
  </sheetData>
  <mergeCells count="2">
    <mergeCell ref="A1:I1"/>
    <mergeCell ref="A2:I2"/>
  </mergeCells>
  <conditionalFormatting sqref="G5:G17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2. Sécurité &amp; Auth</t>
        </is>
      </c>
    </row>
    <row r="2">
      <c r="A2" s="2" t="inlineStr">
        <is>
          <t>Tokens, CSP, 2FA, rate-limit, hash, secrets, headers, validation, audit.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2.1</t>
        </is>
      </c>
      <c r="B5" s="19" t="inlineStr">
        <is>
          <t>Le token de connexion est-il à l'abri d'un script malveillant ?</t>
        </is>
      </c>
      <c r="C5" s="19" t="inlineStr">
        <is>
          <t>Sessions via cookie httpOnly + Secure + SameSite Lax/Strict (pas token en localStorage seul)</t>
        </is>
      </c>
      <c r="D5" s="19" t="inlineStr">
        <is>
          <t>DevTools → Application → Cookies</t>
        </is>
      </c>
      <c r="E5" s="20" t="inlineStr">
        <is>
          <t>🔴</t>
        </is>
      </c>
      <c r="F5" s="21" t="inlineStr">
        <is>
          <t>🤖</t>
        </is>
      </c>
      <c r="G5" s="22" t="inlineStr"/>
      <c r="H5" s="19" t="inlineStr"/>
      <c r="I5" s="23" t="inlineStr">
        <is>
          <t>🔧 DevTools (gratuit) · securityheaders.com (gratuit)
🤖 Claude : revue du code d'auth pour vérifier les flags du cookie</t>
        </is>
      </c>
    </row>
    <row r="6" ht="70" customHeight="1">
      <c r="A6" s="19" t="inlineStr">
        <is>
          <t>2.2</t>
        </is>
      </c>
      <c r="B6" s="19" t="inlineStr">
        <is>
          <t>Le site est-il protégé contre l'injection de scripts malveillants ?</t>
        </is>
      </c>
      <c r="C6" s="19" t="inlineStr">
        <is>
          <t>CSP en production avec script-src/connect-src restreints (pas de 'unsafe-inline' sur script-src)</t>
        </is>
      </c>
      <c r="D6" s="19" t="inlineStr">
        <is>
          <t>Inspecter le header Content-Security-Policy</t>
        </is>
      </c>
      <c r="E6" s="20" t="inlineStr">
        <is>
          <t>🔴</t>
        </is>
      </c>
      <c r="F6" s="21" t="inlineStr">
        <is>
          <t>🤖</t>
        </is>
      </c>
      <c r="G6" s="22" t="inlineStr"/>
      <c r="H6" s="19" t="inlineStr"/>
      <c r="I6" s="23" t="inlineStr">
        <is>
          <t>🔧 securityheaders.com (gratuit) · CSP Evaluator Google (gratuit)
🤖 Claude : audit de la CSP et identification des directives manquantes</t>
        </is>
      </c>
    </row>
    <row r="7" ht="70" customHeight="1">
      <c r="A7" s="19" t="inlineStr">
        <is>
          <t>2.3</t>
        </is>
      </c>
      <c r="B7" s="19" t="inlineStr">
        <is>
          <t>Les comptes sensibles (admin, finance) ont-ils une double authentification ?</t>
        </is>
      </c>
      <c r="C7" s="19" t="inlineStr">
        <is>
          <t>2FA disponible pour tous, obligatoire pour les comptes admin / privilégiés</t>
        </is>
      </c>
      <c r="D7" s="19" t="inlineStr">
        <is>
          <t>Désactiver 2FA admin → l'app doit refuser l'accès aux endpoints sensibles</t>
        </is>
      </c>
      <c r="E7" s="20" t="inlineStr">
        <is>
          <t>🔴</t>
        </is>
      </c>
      <c r="F7" s="21" t="inlineStr">
        <is>
          <t>🔁</t>
        </is>
      </c>
      <c r="G7" s="22" t="inlineStr"/>
      <c r="H7" s="19" t="inlineStr"/>
      <c r="I7" s="23" t="inlineStr">
        <is>
          <t>🔧 Playwright tests flow 2FA (gratuit)
🤖 Claude : revue du middleware admin pour vérifier l'enforcement 2FA</t>
        </is>
      </c>
    </row>
    <row r="8" ht="70" customHeight="1">
      <c r="A8" s="19" t="inlineStr">
        <is>
          <t>2.4</t>
        </is>
      </c>
      <c r="B8" s="19" t="inlineStr">
        <is>
          <t>Le site est-il protégé contre les attaques de force brute sur les mots de passe ?</t>
        </is>
      </c>
      <c r="C8" s="19" t="inlineStr">
        <is>
          <t>Rate limit sur les endpoints d'auth (/login, /register, /password/reset)</t>
        </is>
      </c>
      <c r="D8" s="19" t="inlineStr">
        <is>
          <t>Stresser avec curl → 429 doit apparaître après N tentatives</t>
        </is>
      </c>
      <c r="E8" s="20" t="inlineStr">
        <is>
          <t>🔴</t>
        </is>
      </c>
      <c r="F8" s="21" t="inlineStr">
        <is>
          <t>🤖</t>
        </is>
      </c>
      <c r="G8" s="22" t="inlineStr"/>
      <c r="H8" s="19" t="inlineStr"/>
      <c r="I8" s="23" t="inlineStr">
        <is>
          <t>🔧 k6 (gratuit) · Artillery (gratuit) · curl loops (gratuit)
🤖 Claude : audit des middlewares de rate-limiting sur les routes sensibles</t>
        </is>
      </c>
    </row>
    <row r="9" ht="70" customHeight="1">
      <c r="A9" s="19" t="inlineStr">
        <is>
          <t>2.5</t>
        </is>
      </c>
      <c r="B9" s="19" t="inlineStr">
        <is>
          <t>Les mots de passe sont-ils stockés de façon irréversible ?</t>
        </is>
      </c>
      <c r="C9" s="19" t="inlineStr">
        <is>
          <t>Hash mot de passe bcrypt (cost ≥ 10) ou argon2 ou scrypt</t>
        </is>
      </c>
      <c r="D9" s="19" t="inlineStr">
        <is>
          <t>Inspecter le code de signup/auth</t>
        </is>
      </c>
      <c r="E9" s="20" t="inlineStr">
        <is>
          <t>🔴</t>
        </is>
      </c>
      <c r="F9" s="21" t="inlineStr">
        <is>
          <t>🤖</t>
        </is>
      </c>
      <c r="G9" s="22" t="inlineStr"/>
      <c r="H9" s="19" t="inlineStr"/>
      <c r="I9" s="23" t="inlineStr">
        <is>
          <t>🔧 Semgrep règles password hashing (gratuit)
🤖 Claude : revue du code de hashing — détection de MD5/SHA1/plain</t>
        </is>
      </c>
    </row>
    <row r="10" ht="70" customHeight="1">
      <c r="A10" s="19" t="inlineStr">
        <is>
          <t>2.6</t>
        </is>
      </c>
      <c r="B10" s="19" t="inlineStr">
        <is>
          <t>Un attaquant peut-il savoir si un email a un compte chez vous ?</t>
        </is>
      </c>
      <c r="C10" s="19" t="inlineStr">
        <is>
          <t>Anti-énumération sur login (même message pour email inexistant vs mot de passe faux)</t>
        </is>
      </c>
      <c r="D10" s="19" t="inlineStr">
        <is>
          <t>Tenter login email connu vs inconnu</t>
        </is>
      </c>
      <c r="E10" s="24" t="inlineStr">
        <is>
          <t>🟡</t>
        </is>
      </c>
      <c r="F10" s="21" t="inlineStr">
        <is>
          <t>🔁</t>
        </is>
      </c>
      <c r="G10" s="22" t="inlineStr"/>
      <c r="H10" s="19" t="inlineStr"/>
      <c r="I10" s="23" t="inlineStr">
        <is>
          <t>🔧 curl / Postman (gratuit)
🤖 Claude : revue des handlers de login pour détecter des messages d'erreur révélateurs</t>
        </is>
      </c>
    </row>
    <row r="11" ht="70" customHeight="1">
      <c r="A11" s="19" t="inlineStr">
        <is>
          <t>2.7</t>
        </is>
      </c>
      <c r="B11" s="19" t="inlineStr">
        <is>
          <t>Un utilisateur sans email vérifié peut-il payer ou exporter des données ?</t>
        </is>
      </c>
      <c r="C11" s="19" t="inlineStr">
        <is>
          <t>Email verification obligatoire avant accès aux features sensibles</t>
        </is>
      </c>
      <c r="D11" s="19" t="inlineStr">
        <is>
          <t>Compte non vérifié → essayer payer, exporter</t>
        </is>
      </c>
      <c r="E11" s="24" t="inlineStr">
        <is>
          <t>🟡</t>
        </is>
      </c>
      <c r="F11" s="21" t="inlineStr">
        <is>
          <t>🔁</t>
        </is>
      </c>
      <c r="G11" s="22" t="inlineStr"/>
      <c r="H11" s="19" t="inlineStr"/>
      <c r="I11" s="23" t="inlineStr">
        <is>
          <t>🔧 Playwright tests flow signup (gratuit)</t>
        </is>
      </c>
    </row>
    <row r="12" ht="70" customHeight="1">
      <c r="A12" s="19" t="inlineStr">
        <is>
          <t>2.8</t>
        </is>
      </c>
      <c r="B12" s="19" t="inlineStr">
        <is>
          <t>Si on retire les droits d'un admin, perd-il l'accès immédiatement ?</t>
        </is>
      </c>
      <c r="C12" s="19" t="inlineStr">
        <is>
          <t>Authorization vérifie le rôle contre la DB (pas seulement le claim JWT/session)</t>
        </is>
      </c>
      <c r="D12" s="19" t="inlineStr">
        <is>
          <t>Demoter un admin en DB → son token doit perdre accès dans la minute</t>
        </is>
      </c>
      <c r="E12" s="24" t="inlineStr">
        <is>
          <t>🟡</t>
        </is>
      </c>
      <c r="F12" s="21" t="inlineStr">
        <is>
          <t>🔁</t>
        </is>
      </c>
      <c r="G12" s="22" t="inlineStr"/>
      <c r="H12" s="19" t="inlineStr"/>
      <c r="I12" s="23" t="inlineStr">
        <is>
          <t>🔧 Test manuel + Playwright (gratuit)
🤖 Claude : audit du middleware d'autorisation</t>
        </is>
      </c>
    </row>
    <row r="13" ht="70" customHeight="1">
      <c r="A13" s="19" t="inlineStr">
        <is>
          <t>2.9</t>
        </is>
      </c>
      <c r="B13" s="19" t="inlineStr">
        <is>
          <t>Y a-t-il des clés API ou mots de passe accidentellement commités dans le code ?</t>
        </is>
      </c>
      <c r="C13" s="19" t="inlineStr">
        <is>
          <t>Aucun secret en clair dans le repo (clés API, mots de passe, tokens)</t>
        </is>
      </c>
      <c r="D13" s="19" t="inlineStr">
        <is>
          <t>git log -p + scan secrets</t>
        </is>
      </c>
      <c r="E13" s="20" t="inlineStr">
        <is>
          <t>🔴</t>
        </is>
      </c>
      <c r="F13" s="21" t="inlineStr">
        <is>
          <t>🤖</t>
        </is>
      </c>
      <c r="G13" s="22" t="inlineStr"/>
      <c r="H13" s="19" t="inlineStr">
        <is>
          <t>⚠️ Scan historique git complet recommandé — un secret retiré peut traîner dans l'historique</t>
        </is>
      </c>
      <c r="I13" s="23" t="inlineStr">
        <is>
          <t>🔧 GitGuardian (freemium) · Trufflehog (gratuit) · Gitleaks (gratuit) · git secrets (gratuit)
🤖 Claude : scan ciblé sur les patterns suspects (sk_live_*, key-*, etc.)</t>
        </is>
      </c>
    </row>
    <row r="14" ht="70" customHeight="1">
      <c r="A14" s="19" t="inlineStr">
        <is>
          <t>2.10</t>
        </is>
      </c>
      <c r="B14" s="19" t="inlineStr">
        <is>
          <t>Le site déploie-t-il les protections HTTP standards contre le clickjacking et l'écoute ?</t>
        </is>
      </c>
      <c r="C14" s="19" t="inlineStr">
        <is>
          <t>Headers de sécurité : X-Frame-Options, HSTS, Referrer-Policy, Permissions-Policy</t>
        </is>
      </c>
      <c r="D14" s="19" t="inlineStr">
        <is>
          <t>Tester via securityheaders.com → grade ≥ A</t>
        </is>
      </c>
      <c r="E14" s="24" t="inlineStr">
        <is>
          <t>🟡</t>
        </is>
      </c>
      <c r="F14" s="21" t="inlineStr">
        <is>
          <t>🤖</t>
        </is>
      </c>
      <c r="G14" s="22" t="inlineStr"/>
      <c r="H14" s="19" t="inlineStr"/>
      <c r="I14" s="23" t="inlineStr">
        <is>
          <t>🔧 securityheaders.com (gratuit) · Mozilla Observatory (gratuit)</t>
        </is>
      </c>
    </row>
    <row r="15" ht="70" customHeight="1">
      <c r="A15" s="19" t="inlineStr">
        <is>
          <t>2.11</t>
        </is>
      </c>
      <c r="B15" s="19" t="inlineStr">
        <is>
          <t>Le serveur vérifie-t-il toutes les données reçues, ou fait-il confiance au frontend ?</t>
        </is>
      </c>
      <c r="C15" s="19" t="inlineStr">
        <is>
          <t>Validation côté serveur (Zod / Joi / Pydantic / équivalent) sur toutes les routes mutantes</t>
        </is>
      </c>
      <c r="D15" s="19" t="inlineStr">
        <is>
          <t>Auditer chaque route POST/PUT/PATCH/DELETE</t>
        </is>
      </c>
      <c r="E15" s="20" t="inlineStr">
        <is>
          <t>🔴</t>
        </is>
      </c>
      <c r="F15" s="21" t="inlineStr">
        <is>
          <t>🔁</t>
        </is>
      </c>
      <c r="G15" s="22" t="inlineStr"/>
      <c r="H15" s="19" t="inlineStr">
        <is>
          <t>⚠️ Les règles métier complexes nécessitent validation humaine</t>
        </is>
      </c>
      <c r="I15" s="23" t="inlineStr">
        <is>
          <t>🔧 Semgrep (gratuit) · revue manuelle
🤖 Claude : audit route par route pour vérifier la présence d'un schema de validation</t>
        </is>
      </c>
    </row>
    <row r="16" ht="70" customHeight="1">
      <c r="A16" s="19" t="inlineStr">
        <is>
          <t>2.12</t>
        </is>
      </c>
      <c r="B16" s="19" t="inlineStr">
        <is>
          <t>Une page tierce peut-elle déclencher une action au nom de l'utilisateur ?</t>
        </is>
      </c>
      <c r="C16" s="19" t="inlineStr">
        <is>
          <t>Protection CSRF active sur les requêtes mutantes en cookie-auth</t>
        </is>
      </c>
      <c r="D16" s="19" t="inlineStr">
        <is>
          <t>Tester soumission cross-origin sans token</t>
        </is>
      </c>
      <c r="E16" s="24" t="inlineStr">
        <is>
          <t>🟡</t>
        </is>
      </c>
      <c r="F16" s="21" t="inlineStr">
        <is>
          <t>🔁</t>
        </is>
      </c>
      <c r="G16" s="22" t="inlineStr"/>
      <c r="H16" s="19" t="inlineStr"/>
      <c r="I16" s="23" t="inlineStr">
        <is>
          <t>🔧 OWASP ZAP (gratuit) · Burp Suite (freemium)
🤖 Claude : audit de la config CSRF et SameSite</t>
        </is>
      </c>
    </row>
    <row r="17" ht="70" customHeight="1">
      <c r="A17" s="19" t="inlineStr">
        <is>
          <t>2.13</t>
        </is>
      </c>
      <c r="B17" s="19" t="inlineStr">
        <is>
          <t>En cas d'incident, peut-on tracer qui a fait quoi côté admin ?</t>
        </is>
      </c>
      <c r="C17" s="19" t="inlineStr">
        <is>
          <t>Logs d'audit pour actions admin sensibles (création/suppression user, role change, payout)</t>
        </is>
      </c>
      <c r="D17" s="19" t="inlineStr">
        <is>
          <t>Existence d'une table d'audit + accessibilité</t>
        </is>
      </c>
      <c r="E17" s="24" t="inlineStr">
        <is>
          <t>🟡</t>
        </is>
      </c>
      <c r="F17" s="21" t="inlineStr">
        <is>
          <t>🔁</t>
        </is>
      </c>
      <c r="G17" s="22" t="inlineStr"/>
      <c r="H17" s="19" t="inlineStr"/>
      <c r="I17" s="23" t="inlineStr">
        <is>
          <t>🔧 grep sur les actions sensibles · revue de schema DB
🤖 Claude : audit des handlers admin pour vérifier la présence de logAdminAction()</t>
        </is>
      </c>
    </row>
    <row r="18" ht="70" customHeight="1">
      <c r="A18" s="19" t="inlineStr">
        <is>
          <t>2.14</t>
        </is>
      </c>
      <c r="B18" s="19" t="inlineStr">
        <is>
          <t>Les librairies tierces sont-elles à jour côté sécurité ?</t>
        </is>
      </c>
      <c r="C18" s="19" t="inlineStr">
        <is>
          <t>Dépendances scannées (npm audit / Snyk / Dependabot) — pas de CVE critique en prod</t>
        </is>
      </c>
      <c r="D18" s="19" t="inlineStr">
        <is>
          <t>Dernier rapport scan ≤ 7 jours</t>
        </is>
      </c>
      <c r="E18" s="24" t="inlineStr">
        <is>
          <t>🟡</t>
        </is>
      </c>
      <c r="F18" s="21" t="inlineStr">
        <is>
          <t>🤖</t>
        </is>
      </c>
      <c r="G18" s="22" t="inlineStr"/>
      <c r="H18" s="19" t="inlineStr">
        <is>
          <t>⚠️ Faux positifs fréquents — humain pour décider d'updater ou de mute</t>
        </is>
      </c>
      <c r="I18" s="23" t="inlineStr">
        <is>
          <t>🔧 Snyk (freemium) · Dependabot (gratuit GitHub) · npm audit (gratuit)
🤖 Claude : aide à la priorisation des CVE selon l'exposition réelle</t>
        </is>
      </c>
    </row>
  </sheetData>
  <mergeCells count="2">
    <mergeCell ref="A1:I1"/>
    <mergeCell ref="A2:I2"/>
  </mergeCells>
  <conditionalFormatting sqref="G5:G18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3. Données &amp; Confidentialité</t>
        </is>
      </c>
    </row>
    <row r="2">
      <c r="A2" s="2" t="inlineStr">
        <is>
          <t>Droits utilisateurs, DPA, rétention, cookies, chiffrement, hébergement.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3.1</t>
        </is>
      </c>
      <c r="B5" s="19" t="inlineStr">
        <is>
          <t>Un utilisateur peut-il récupérer toutes ses données dans un format utilisable ?</t>
        </is>
      </c>
      <c r="C5" s="19" t="inlineStr">
        <is>
          <t>Export des données personnelles (droit d'accès) — format machine-readable</t>
        </is>
      </c>
      <c r="D5" s="19" t="inlineStr">
        <is>
          <t>Endpoint /account/export fonctionnel</t>
        </is>
      </c>
      <c r="E5" s="20" t="inlineStr">
        <is>
          <t>🔴</t>
        </is>
      </c>
      <c r="F5" s="21" t="inlineStr">
        <is>
          <t>🔁</t>
        </is>
      </c>
      <c r="G5" s="22" t="inlineStr"/>
      <c r="H5" s="19" t="inlineStr"/>
      <c r="I5" s="23" t="inlineStr">
        <is>
          <t>🔧 Playwright tests E2E (gratuit)
🤖 Claude : audit du endpoint d'export pour vérifier la complétude</t>
        </is>
      </c>
    </row>
    <row r="6" ht="70" customHeight="1">
      <c r="A6" s="19" t="inlineStr">
        <is>
          <t>3.2</t>
        </is>
      </c>
      <c r="B6" s="19" t="inlineStr">
        <is>
          <t>Quand un utilisateur supprime son compte, ses données disparaissent-elles vraiment ?</t>
        </is>
      </c>
      <c r="C6" s="19" t="inlineStr">
        <is>
          <t>Suppression compte respecte le droit à l'oubli (anonymisation si transactions à garder)</t>
        </is>
      </c>
      <c r="D6" s="19" t="inlineStr">
        <is>
          <t>Tester delete → User row anonymisée, transactions intactes</t>
        </is>
      </c>
      <c r="E6" s="20" t="inlineStr">
        <is>
          <t>🔴</t>
        </is>
      </c>
      <c r="F6" s="21" t="inlineStr">
        <is>
          <t>🔁</t>
        </is>
      </c>
      <c r="G6" s="22" t="inlineStr"/>
      <c r="H6" s="19" t="inlineStr">
        <is>
          <t>⚠️ Vérification juridique requise</t>
        </is>
      </c>
      <c r="I6" s="23" t="inlineStr">
        <is>
          <t>🔧 Test manuel + revue de schema DB
🤖 Claude : audit du flow de suppression pour vérifier l'anonymisation cross-tables</t>
        </is>
      </c>
    </row>
    <row r="7" ht="70" customHeight="1">
      <c r="A7" s="19" t="inlineStr">
        <is>
          <t>3.3</t>
        </is>
      </c>
      <c r="B7" s="19" t="inlineStr">
        <is>
          <t>Avons-nous le registre des traitements RGPD à jour ?</t>
        </is>
      </c>
      <c r="C7" s="19" t="inlineStr">
        <is>
          <t>Registre des traitements documenté (qui traite quoi, finalité, base légale, durée)</t>
        </is>
      </c>
      <c r="D7" s="19" t="inlineStr">
        <is>
          <t>Document accessible et à jour</t>
        </is>
      </c>
      <c r="E7" s="20" t="inlineStr">
        <is>
          <t>🔴</t>
        </is>
      </c>
      <c r="F7" s="21" t="inlineStr">
        <is>
          <t>👤</t>
        </is>
      </c>
      <c r="G7" s="22" t="inlineStr"/>
      <c r="H7" s="19" t="inlineStr">
        <is>
          <t>⚠️ Validation juridique obligatoire</t>
        </is>
      </c>
      <c r="I7" s="23" t="inlineStr">
        <is>
          <t>🔧 Modèle CNIL (gratuit) · Vanta / Drata (payant)
🤖 Claude : génération d'une première version du registre à partir d'une description</t>
        </is>
      </c>
    </row>
    <row r="8" ht="70" customHeight="1">
      <c r="A8" s="19" t="inlineStr">
        <is>
          <t>3.4</t>
        </is>
      </c>
      <c r="B8" s="19" t="inlineStr">
        <is>
          <t>Tous nos prestataires qui voient des données utilisateurs ont-ils signé un contrat RGPD avec nous ?</t>
        </is>
      </c>
      <c r="C8" s="19" t="inlineStr">
        <is>
          <t>DPA signés avec tous les fournisseurs traitant des données perso</t>
        </is>
      </c>
      <c r="D8" s="19" t="inlineStr">
        <is>
          <t>Liste des sous-traitants + statut contractuel</t>
        </is>
      </c>
      <c r="E8" s="20" t="inlineStr">
        <is>
          <t>🔴</t>
        </is>
      </c>
      <c r="F8" s="21" t="inlineStr">
        <is>
          <t>👤</t>
        </is>
      </c>
      <c r="G8" s="22" t="inlineStr"/>
      <c r="H8" s="19" t="inlineStr">
        <is>
          <t>⚠️ Signature et conservation juridique requises</t>
        </is>
      </c>
      <c r="I8" s="23" t="inlineStr">
        <is>
          <t>🔧 Liste sous-traitants + tracker contractuel
🤖 Claude : aide à la rédaction des questions à poser à chaque sous-traitant</t>
        </is>
      </c>
    </row>
    <row r="9" ht="70" customHeight="1">
      <c r="A9" s="19" t="inlineStr">
        <is>
          <t>3.5</t>
        </is>
      </c>
      <c r="B9" s="19" t="inlineStr">
        <is>
          <t>Avons-nous évalué le risque RGPD pour les traitements sensibles (IA, tracking, scoring) ?</t>
        </is>
      </c>
      <c r="C9" s="19" t="inlineStr">
        <is>
          <t>Analyse d'impact (DPIA / PIA) si traitement à risque</t>
        </is>
      </c>
      <c r="D9" s="19" t="inlineStr">
        <is>
          <t>Document présent et à jour</t>
        </is>
      </c>
      <c r="E9" s="24" t="inlineStr">
        <is>
          <t>🟡</t>
        </is>
      </c>
      <c r="F9" s="21" t="inlineStr">
        <is>
          <t>👤</t>
        </is>
      </c>
      <c r="G9" s="22" t="inlineStr"/>
      <c r="H9" s="19" t="inlineStr">
        <is>
          <t>⚠️ Validation par DPO si nommé</t>
        </is>
      </c>
      <c r="I9" s="23" t="inlineStr">
        <is>
          <t>🔧 Outil PIA CNIL (gratuit)
🤖 Claude : aide à la rédaction de la DPIA selon EBIOS RM</t>
        </is>
      </c>
    </row>
    <row r="10" ht="70" customHeight="1">
      <c r="A10" s="19" t="inlineStr">
        <is>
          <t>3.6</t>
        </is>
      </c>
      <c r="B10" s="19" t="inlineStr">
        <is>
          <t>Les données européennes restent-elles en Europe ?</t>
        </is>
      </c>
      <c r="C10" s="19" t="inlineStr">
        <is>
          <t>Hébergement aligné avec les exigences de la juridiction des utilisateurs</t>
        </is>
      </c>
      <c r="D10" s="19" t="inlineStr">
        <is>
          <t>Vérifier la région des bases, buckets, providers IA</t>
        </is>
      </c>
      <c r="E10" s="24" t="inlineStr">
        <is>
          <t>🟡</t>
        </is>
      </c>
      <c r="F10" s="21" t="inlineStr">
        <is>
          <t>🔁</t>
        </is>
      </c>
      <c r="G10" s="22" t="inlineStr"/>
      <c r="H10" s="19" t="inlineStr"/>
      <c r="I10" s="23" t="inlineStr">
        <is>
          <t>🔧 Audit config cloud (console)
🤖 Claude : revue des configs Terraform/CloudFormation pour localiser les ressources</t>
        </is>
      </c>
    </row>
    <row r="11" ht="70" customHeight="1">
      <c r="A11" s="19" t="inlineStr">
        <is>
          <t>3.7</t>
        </is>
      </c>
      <c r="B11" s="19" t="inlineStr">
        <is>
          <t>Conservons-nous les données plus longtemps que nécessaire ?</t>
        </is>
      </c>
      <c r="C11" s="19" t="inlineStr">
        <is>
          <t>Politique de rétention écrite + job de purge automatique</t>
        </is>
      </c>
      <c r="D11" s="19" t="inlineStr">
        <is>
          <t>Document + job documenté et qui tourne</t>
        </is>
      </c>
      <c r="E11" s="20" t="inlineStr">
        <is>
          <t>🔴</t>
        </is>
      </c>
      <c r="F11" s="21" t="inlineStr">
        <is>
          <t>🔁</t>
        </is>
      </c>
      <c r="G11" s="22" t="inlineStr"/>
      <c r="H11" s="19" t="inlineStr"/>
      <c r="I11" s="23" t="inlineStr">
        <is>
          <t>🔧 Cron / Cloud Scheduler · revue de code des jobs
🤖 Claude : audit des jobs de purge et de leurs critères</t>
        </is>
      </c>
    </row>
    <row r="12" ht="70" customHeight="1">
      <c r="A12" s="19" t="inlineStr">
        <is>
          <t>3.8</t>
        </is>
      </c>
      <c r="B12" s="19" t="inlineStr">
        <is>
          <t>Notre bandeau cookie respecte-t-il les règles CNIL ?</t>
        </is>
      </c>
      <c r="C12" s="19" t="inlineStr">
        <is>
          <t>Bannière cookie conforme (refus = même clic qu'accepter)</t>
        </is>
      </c>
      <c r="D12" s="19" t="inlineStr">
        <is>
          <t>Inspecter en visiteur — pas de pré-cochage</t>
        </is>
      </c>
      <c r="E12" s="20" t="inlineStr">
        <is>
          <t>🔴</t>
        </is>
      </c>
      <c r="F12" s="21" t="inlineStr">
        <is>
          <t>🤖</t>
        </is>
      </c>
      <c r="G12" s="22" t="inlineStr"/>
      <c r="H12" s="19" t="inlineStr"/>
      <c r="I12" s="23" t="inlineStr">
        <is>
          <t>🔧 Axeptio (freemium) · Cookiebot (freemium) · Klaro (gratuit)
🤖 Claude : audit visuel de la bannière sur capture</t>
        </is>
      </c>
    </row>
    <row r="13" ht="70" customHeight="1">
      <c r="A13" s="19" t="inlineStr">
        <is>
          <t>3.9</t>
        </is>
      </c>
      <c r="B13" s="19" t="inlineStr">
        <is>
          <t>Aucun tracker ne se déclenche avant que l'utilisateur dise oui ?</t>
        </is>
      </c>
      <c r="C13" s="19" t="inlineStr">
        <is>
          <t>Trackers / analytics chargés UNIQUEMENT après consentement</t>
        </is>
      </c>
      <c r="D13" s="19" t="inlineStr">
        <is>
          <t>DevTools Network avant accept → aucun call GA/Meta</t>
        </is>
      </c>
      <c r="E13" s="20" t="inlineStr">
        <is>
          <t>🔴</t>
        </is>
      </c>
      <c r="F13" s="21" t="inlineStr">
        <is>
          <t>🤖</t>
        </is>
      </c>
      <c r="G13" s="22" t="inlineStr"/>
      <c r="H13" s="19" t="inlineStr"/>
      <c r="I13" s="23" t="inlineStr">
        <is>
          <t>🔧 DevTools (gratuit) · Axeptio dashboard (freemium)</t>
        </is>
      </c>
    </row>
    <row r="14" ht="70" customHeight="1">
      <c r="A14" s="19" t="inlineStr">
        <is>
          <t>3.10</t>
        </is>
      </c>
      <c r="B14" s="19" t="inlineStr">
        <is>
          <t>Pouvons-nous identifier qui a uploadé quoi sur demande judiciaire ?</t>
        </is>
      </c>
      <c r="C14" s="19" t="inlineStr">
        <is>
          <t>Logs d'identification (IP+UA+horodatage) si hébergeur de contenu</t>
        </is>
      </c>
      <c r="D14" s="19" t="inlineStr">
        <is>
          <t>Table de logs + durée de rétention conforme</t>
        </is>
      </c>
      <c r="E14" s="24" t="inlineStr">
        <is>
          <t>🟡</t>
        </is>
      </c>
      <c r="F14" s="21" t="inlineStr">
        <is>
          <t>🔁</t>
        </is>
      </c>
      <c r="G14" s="22" t="inlineStr"/>
      <c r="H14" s="19" t="inlineStr">
        <is>
          <t>⚠️ LCEN art. 6-II en France</t>
        </is>
      </c>
      <c r="I14" s="23" t="inlineStr">
        <is>
          <t>🔧 Revue de schema DB
🤖 Claude : audit des points d'upload pour vérifier le logging</t>
        </is>
      </c>
    </row>
    <row r="15" ht="70" customHeight="1">
      <c r="A15" s="19" t="inlineStr">
        <is>
          <t>3.11</t>
        </is>
      </c>
      <c r="B15" s="19" t="inlineStr">
        <is>
          <t>Avons-nous nommé un DPO et l'avons-nous communiqué ?</t>
        </is>
      </c>
      <c r="C15" s="19" t="inlineStr">
        <is>
          <t>DPO / Privacy Officer désigné si la juridiction l'exige</t>
        </is>
      </c>
      <c r="D15" s="19" t="inlineStr">
        <is>
          <t>Coordonnées affichées dans les mentions</t>
        </is>
      </c>
      <c r="E15" s="24" t="inlineStr">
        <is>
          <t>🟡</t>
        </is>
      </c>
      <c r="F15" s="21" t="inlineStr">
        <is>
          <t>👤</t>
        </is>
      </c>
      <c r="G15" s="22" t="inlineStr"/>
      <c r="H15" s="19" t="inlineStr">
        <is>
          <t>⚠️ Décision RH / juridique</t>
        </is>
      </c>
      <c r="I15" s="23" t="inlineStr">
        <is>
          <t>🔧 —</t>
        </is>
      </c>
    </row>
    <row r="16" ht="70" customHeight="1">
      <c r="A16" s="19" t="inlineStr">
        <is>
          <t>3.12</t>
        </is>
      </c>
      <c r="B16" s="19" t="inlineStr">
        <is>
          <t>Si quelqu'un volait le disque, pourrait-il lire les données ?</t>
        </is>
      </c>
      <c r="C16" s="19" t="inlineStr">
        <is>
          <t>Chiffrement at-rest activé sur la DB et les buckets</t>
        </is>
      </c>
      <c r="D16" s="19" t="inlineStr">
        <is>
          <t>Vérifier config cloud / fournisseur</t>
        </is>
      </c>
      <c r="E16" s="24" t="inlineStr">
        <is>
          <t>🟡</t>
        </is>
      </c>
      <c r="F16" s="21" t="inlineStr">
        <is>
          <t>🤖</t>
        </is>
      </c>
      <c r="G16" s="22" t="inlineStr"/>
      <c r="H16" s="19" t="inlineStr"/>
      <c r="I16" s="23" t="inlineStr">
        <is>
          <t>🔧 Cloud provider audit (gratuit)</t>
        </is>
      </c>
    </row>
    <row r="17" ht="70" customHeight="1">
      <c r="A17" s="19" t="inlineStr">
        <is>
          <t>3.13</t>
        </is>
      </c>
      <c r="B17" s="19" t="inlineStr">
        <is>
          <t>Les communications avec notre serveur sont-elles chiffrées avec un protocole moderne ?</t>
        </is>
      </c>
      <c r="C17" s="19" t="inlineStr">
        <is>
          <t>TLS 1.2 minimum sur tous les endpoints publics (idéalement TLS 1.3)</t>
        </is>
      </c>
      <c r="D17" s="19" t="inlineStr">
        <is>
          <t>SSL Labs test → grade A</t>
        </is>
      </c>
      <c r="E17" s="20" t="inlineStr">
        <is>
          <t>🔴</t>
        </is>
      </c>
      <c r="F17" s="21" t="inlineStr">
        <is>
          <t>🤖</t>
        </is>
      </c>
      <c r="G17" s="22" t="inlineStr"/>
      <c r="H17" s="19" t="inlineStr"/>
      <c r="I17" s="23" t="inlineStr">
        <is>
          <t>🔧 SSL Labs (gratuit) · testssl.sh (gratuit)</t>
        </is>
      </c>
    </row>
    <row r="18" ht="70" customHeight="1">
      <c r="A18" s="19" t="inlineStr">
        <is>
          <t>3.14</t>
        </is>
      </c>
      <c r="B18" s="19" t="inlineStr">
        <is>
          <t>Nos URLs contiennent-elles des emails ou identifiants personnels que Google pourrait indexer ?</t>
        </is>
      </c>
      <c r="C18" s="19" t="inlineStr">
        <is>
          <t>Pas de PII dans les URLs (email, ID en query string indexable)</t>
        </is>
      </c>
      <c r="D18" s="19" t="inlineStr">
        <is>
          <t>Audit des routes</t>
        </is>
      </c>
      <c r="E18" s="24" t="inlineStr">
        <is>
          <t>🟡</t>
        </is>
      </c>
      <c r="F18" s="21" t="inlineStr">
        <is>
          <t>🤖</t>
        </is>
      </c>
      <c r="G18" s="22" t="inlineStr"/>
      <c r="H18" s="19" t="inlineStr"/>
      <c r="I18" s="23" t="inlineStr">
        <is>
          <t>🔧 grep / ripgrep sur le code (gratuit)
🤖 Claude : audit des routes pour détecter les query params sensibles</t>
        </is>
      </c>
    </row>
  </sheetData>
  <mergeCells count="2">
    <mergeCell ref="A1:I1"/>
    <mergeCell ref="A2:I2"/>
  </mergeCells>
  <conditionalFormatting sqref="G5:G18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4. IA — Pertinence &amp; Qualité</t>
        </is>
      </c>
    </row>
    <row r="2">
      <c r="A2" s="2" t="inlineStr">
        <is>
          <t>Eval set, hallucinations, prompt injection, output filtering, versioning, fallback.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4.1</t>
        </is>
      </c>
      <c r="B5" s="19" t="inlineStr">
        <is>
          <t>Quand on change un prompt, sait-on objectivement si c'est mieux ou pire ?</t>
        </is>
      </c>
      <c r="C5" s="19" t="inlineStr">
        <is>
          <t>Set d'évaluation (eval set) figé pour tester les prompts à chaque changement</t>
        </is>
      </c>
      <c r="D5" s="19" t="inlineStr">
        <is>
          <t>Dossier evals/ ou framework Promptfoo/Braintrust/DeepEval/Ragas</t>
        </is>
      </c>
      <c r="E5" s="24" t="inlineStr">
        <is>
          <t>🟡</t>
        </is>
      </c>
      <c r="F5" s="21" t="inlineStr">
        <is>
          <t>🤖</t>
        </is>
      </c>
      <c r="G5" s="22" t="inlineStr"/>
      <c r="H5" s="19" t="inlineStr">
        <is>
          <t>⚠️ Curation des golden answers par expert métier</t>
        </is>
      </c>
      <c r="I5" s="23" t="inlineStr">
        <is>
          <t>🔧 Promptfoo (gratuit) · Braintrust (freemium) · DeepEval (gratuit)
🤖 Claude : aide à construire le set d'eval initial (golden examples)</t>
        </is>
      </c>
    </row>
    <row r="6" ht="70" customHeight="1">
      <c r="A6" s="19" t="inlineStr">
        <is>
          <t>4.2</t>
        </is>
      </c>
      <c r="B6" s="19" t="inlineStr">
        <is>
          <t>Mesure-t-on objectivement la qualité des sorties IA en production ?</t>
        </is>
      </c>
      <c r="C6" s="19" t="inlineStr">
        <is>
          <t>Score de pertinence mesuré sur les sorties IA (golden answers + similarity / LLM-as-judge)</t>
        </is>
      </c>
      <c r="D6" s="19" t="inlineStr">
        <is>
          <t>Process documenté + dashboard</t>
        </is>
      </c>
      <c r="E6" s="25" t="inlineStr">
        <is>
          <t>🟢</t>
        </is>
      </c>
      <c r="F6" s="21" t="inlineStr">
        <is>
          <t>🔁</t>
        </is>
      </c>
      <c r="G6" s="22" t="inlineStr"/>
      <c r="H6" s="19" t="inlineStr">
        <is>
          <t>⚠️ Spot-check humain recommandé</t>
        </is>
      </c>
      <c r="I6" s="23" t="inlineStr">
        <is>
          <t>🔧 LangSmith (freemium) · Braintrust (freemium)
🤖 Claude : peut faire le LLM-as-judge sur batch de sorties</t>
        </is>
      </c>
    </row>
    <row r="7" ht="70" customHeight="1">
      <c r="A7" s="19" t="inlineStr">
        <is>
          <t>4.3</t>
        </is>
      </c>
      <c r="B7" s="19" t="inlineStr">
        <is>
          <t>Vérifions-nous régulièrement que l'IA n'invente pas de faits ?</t>
        </is>
      </c>
      <c r="C7" s="19" t="inlineStr">
        <is>
          <t>Détection des hallucinations (output contredit input, faits inventés, citations falsifiées)</t>
        </is>
      </c>
      <c r="D7" s="19" t="inlineStr">
        <is>
          <t>Sample de 50 sorties prod → review manuel</t>
        </is>
      </c>
      <c r="E7" s="24" t="inlineStr">
        <is>
          <t>🟡</t>
        </is>
      </c>
      <c r="F7" s="21" t="inlineStr">
        <is>
          <t>🔁</t>
        </is>
      </c>
      <c r="G7" s="22" t="inlineStr"/>
      <c r="H7" s="19" t="inlineStr"/>
      <c r="I7" s="23" t="inlineStr">
        <is>
          <t>🔧 Échantillonnage manuel · LLM-as-judge
🤖 Claude : peut comparer output vs sources pour détecter les inventions</t>
        </is>
      </c>
    </row>
    <row r="8" ht="70" customHeight="1">
      <c r="A8" s="19" t="inlineStr">
        <is>
          <t>4.4</t>
        </is>
      </c>
      <c r="B8" s="19" t="inlineStr">
        <is>
          <t>Un utilisateur malveillant peut-il faire dire n'importe quoi à notre IA ?</t>
        </is>
      </c>
      <c r="C8" s="19" t="inlineStr">
        <is>
          <t>Prompt injection testé (user input contient 'ignore instructions above', roleplay)</t>
        </is>
      </c>
      <c r="D8" s="19" t="inlineStr">
        <is>
          <t>10 inputs hostiles → mesurer escape rate</t>
        </is>
      </c>
      <c r="E8" s="20" t="inlineStr">
        <is>
          <t>🔴</t>
        </is>
      </c>
      <c r="F8" s="21" t="inlineStr">
        <is>
          <t>🤖</t>
        </is>
      </c>
      <c r="G8" s="22" t="inlineStr"/>
      <c r="H8" s="19" t="inlineStr"/>
      <c r="I8" s="23" t="inlineStr">
        <is>
          <t>🔧 Promptfoo (gratuit) · Garak (gratuit)
🤖 Claude : génération de payloads adversariaux pour tester</t>
        </is>
      </c>
    </row>
    <row r="9" ht="70" customHeight="1">
      <c r="A9" s="19" t="inlineStr">
        <is>
          <t>4.5</t>
        </is>
      </c>
      <c r="B9" s="19" t="inlineStr">
        <is>
          <t>Notre IA peut-elle générer du contenu illégal ou dangereux ?</t>
        </is>
      </c>
      <c r="C9" s="19" t="inlineStr">
        <is>
          <t>Output filtré pour contenu prohibé (NSFW, instructions dangereuses, contenu illégal)</t>
        </is>
      </c>
      <c r="D9" s="19" t="inlineStr">
        <is>
          <t>Prompts adversariaux → contenu bloqué ?</t>
        </is>
      </c>
      <c r="E9" s="20" t="inlineStr">
        <is>
          <t>🔴</t>
        </is>
      </c>
      <c r="F9" s="21" t="inlineStr">
        <is>
          <t>🤖</t>
        </is>
      </c>
      <c r="G9" s="22" t="inlineStr"/>
      <c r="H9" s="19" t="inlineStr"/>
      <c r="I9" s="23" t="inlineStr">
        <is>
          <t>🔧 Vertex AI safety filters (inclus) · OpenAI moderation API (gratuit) · Lakera Guard (payant)</t>
        </is>
      </c>
    </row>
    <row r="10" ht="70" customHeight="1">
      <c r="A10" s="19" t="inlineStr">
        <is>
          <t>4.6</t>
        </is>
      </c>
      <c r="B10" s="19" t="inlineStr">
        <is>
          <t>Peut-on revenir en arrière sur un changement de prompt qui dégrade la qualité ?</t>
        </is>
      </c>
      <c r="C10" s="19" t="inlineStr">
        <is>
          <t>Versioning des prompts (commit dans le code, pas hardcodé inline)</t>
        </is>
      </c>
      <c r="D10" s="19" t="inlineStr">
        <is>
          <t>Prompts dans des fichiers dédiés versionnés ?</t>
        </is>
      </c>
      <c r="E10" s="24" t="inlineStr">
        <is>
          <t>🟡</t>
        </is>
      </c>
      <c r="F10" s="21" t="inlineStr">
        <is>
          <t>🤖</t>
        </is>
      </c>
      <c r="G10" s="22" t="inlineStr"/>
      <c r="H10" s="19" t="inlineStr"/>
      <c r="I10" s="23" t="inlineStr">
        <is>
          <t>🔧 git + dossier prompts/ dédié
🤖 Claude : refactor des prompts inline vers fichiers dédiés</t>
        </is>
      </c>
    </row>
    <row r="11" ht="70" customHeight="1">
      <c r="A11" s="19" t="inlineStr">
        <is>
          <t>4.7</t>
        </is>
      </c>
      <c r="B11" s="19" t="inlineStr">
        <is>
          <t>Si le fournisseur change le modèle silencieusement, notre app le sait ?</t>
        </is>
      </c>
      <c r="C11" s="19" t="inlineStr">
        <is>
          <t>Versioning du modèle (référence à une version pinnée, pas 'latest')</t>
        </is>
      </c>
      <c r="D11" s="19" t="inlineStr">
        <is>
          <t>Inspecter l'appel SDK</t>
        </is>
      </c>
      <c r="E11" s="24" t="inlineStr">
        <is>
          <t>🟡</t>
        </is>
      </c>
      <c r="F11" s="21" t="inlineStr">
        <is>
          <t>🤖</t>
        </is>
      </c>
      <c r="G11" s="22" t="inlineStr"/>
      <c r="H11" s="19" t="inlineStr"/>
      <c r="I11" s="23" t="inlineStr">
        <is>
          <t>🔧 grep sur les appels SDK IA (gratuit)
🤖 Claude : détection des appels modèle non-pinned</t>
        </is>
      </c>
    </row>
    <row r="12" ht="70" customHeight="1">
      <c r="A12" s="19" t="inlineStr">
        <is>
          <t>4.8</t>
        </is>
      </c>
      <c r="B12" s="19" t="inlineStr">
        <is>
          <t>Que se passe-t-il si le fournisseur d'IA est en panne ?</t>
        </is>
      </c>
      <c r="C12" s="19" t="inlineStr">
        <is>
          <t>Fallback déterministe quand l'IA échoue (rate limit, model down, output unparseable)</t>
        </is>
      </c>
      <c r="D12" s="19" t="inlineStr">
        <is>
          <t>Couper la clé API → mode dégradé propre ?</t>
        </is>
      </c>
      <c r="E12" s="20" t="inlineStr">
        <is>
          <t>🔴</t>
        </is>
      </c>
      <c r="F12" s="21" t="inlineStr">
        <is>
          <t>🔁</t>
        </is>
      </c>
      <c r="G12" s="22" t="inlineStr"/>
      <c r="H12" s="19" t="inlineStr"/>
      <c r="I12" s="23" t="inlineStr">
        <is>
          <t>🔧 Test manuel : modifier la clé API · chaos engineering
🤖 Claude : revue des handlers d'erreur IA</t>
        </is>
      </c>
    </row>
    <row r="13" ht="70" customHeight="1">
      <c r="A13" s="19" t="inlineStr">
        <is>
          <t>4.9</t>
        </is>
      </c>
      <c r="B13" s="19" t="inlineStr">
        <is>
          <t>Si l'IA renvoie un format inattendu, l'app crash ou récupère ?</t>
        </is>
      </c>
      <c r="C13" s="19" t="inlineStr">
        <is>
          <t>Validation des outputs structurés (JSON schema/Pydantic/Zod) avec retry si malformé</t>
        </is>
      </c>
      <c r="D13" s="19" t="inlineStr">
        <is>
          <t>Inspecter post-traitement IA</t>
        </is>
      </c>
      <c r="E13" s="24" t="inlineStr">
        <is>
          <t>🟡</t>
        </is>
      </c>
      <c r="F13" s="21" t="inlineStr">
        <is>
          <t>🔁</t>
        </is>
      </c>
      <c r="G13" s="22" t="inlineStr"/>
      <c r="H13" s="19" t="inlineStr"/>
      <c r="I13" s="23" t="inlineStr">
        <is>
          <t>🔧 Zod / Pydantic (gratuit)
🤖 Claude : audit du post-traitement IA pour identifier les unsafe parses</t>
        </is>
      </c>
    </row>
    <row r="14" ht="70" customHeight="1">
      <c r="A14" s="19" t="inlineStr">
        <is>
          <t>4.10</t>
        </is>
      </c>
      <c r="B14" s="19" t="inlineStr">
        <is>
          <t>L'utilisateur sait-il toujours quand un contenu vient de l'IA ?</t>
        </is>
      </c>
      <c r="C14" s="19" t="inlineStr">
        <is>
          <t>Disclaimer 'Généré par IA, peut contenir des erreurs' visible sur chaque sortie</t>
        </is>
      </c>
      <c r="D14" s="19" t="inlineStr">
        <is>
          <t>Audit visuel des écrans avec output IA</t>
        </is>
      </c>
      <c r="E14" s="24" t="inlineStr">
        <is>
          <t>🟡</t>
        </is>
      </c>
      <c r="F14" s="21" t="inlineStr">
        <is>
          <t>🔁</t>
        </is>
      </c>
      <c r="G14" s="22" t="inlineStr"/>
      <c r="H14" s="19" t="inlineStr"/>
      <c r="I14" s="23" t="inlineStr">
        <is>
          <t>🔧 Capture + audit visuel</t>
        </is>
      </c>
    </row>
    <row r="15" ht="70" customHeight="1">
      <c r="A15" s="19" t="inlineStr">
        <is>
          <t>4.11</t>
        </is>
      </c>
      <c r="B15" s="19" t="inlineStr">
        <is>
          <t>L'utilisateur peut-il vérifier sur quelle source l'IA s'est basée ?</t>
        </is>
      </c>
      <c r="C15" s="19" t="inlineStr">
        <is>
          <t>Citation/source affichée si l'IA fait du RAG sur des documents internes</t>
        </is>
      </c>
      <c r="D15" s="19" t="inlineStr">
        <is>
          <t>UI montre les passages utilisés ?</t>
        </is>
      </c>
      <c r="E15" s="25" t="inlineStr">
        <is>
          <t>🟢</t>
        </is>
      </c>
      <c r="F15" s="21" t="inlineStr">
        <is>
          <t>🔁</t>
        </is>
      </c>
      <c r="G15" s="22" t="inlineStr"/>
      <c r="H15" s="19" t="inlineStr"/>
      <c r="I15" s="23" t="inlineStr">
        <is>
          <t>🔧 Audit UX (gratuit)</t>
        </is>
      </c>
    </row>
  </sheetData>
  <mergeCells count="2">
    <mergeCell ref="A1:I1"/>
    <mergeCell ref="A2:I2"/>
  </mergeCells>
  <conditionalFormatting sqref="G5:G15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5. IA — Coûts &amp; Limites</t>
        </is>
      </c>
    </row>
    <row r="2">
      <c r="A2" s="2" t="inlineStr">
        <is>
          <t>Quota utilisateur, suivi coûts, alertes, max tokens, rate limit, cache, fallback, idempotency.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5.1</t>
        </is>
      </c>
      <c r="B5" s="19" t="inlineStr">
        <is>
          <t>Un utilisateur peut-il consommer 10 000 € d'IA en quelques minutes ?</t>
        </is>
      </c>
      <c r="C5" s="19" t="inlineStr">
        <is>
          <t>Quota par utilisateur (crédits IA, calls/mois) avec compteur en DB</t>
        </is>
      </c>
      <c r="D5" s="19" t="inlineStr">
        <is>
          <t>Tester épuisement → 402 / blocage propre</t>
        </is>
      </c>
      <c r="E5" s="20" t="inlineStr">
        <is>
          <t>🔴</t>
        </is>
      </c>
      <c r="F5" s="21" t="inlineStr">
        <is>
          <t>🔁</t>
        </is>
      </c>
      <c r="G5" s="22" t="inlineStr"/>
      <c r="H5" s="19" t="inlineStr"/>
      <c r="I5" s="23" t="inlineStr">
        <is>
          <t>🔧 Test manuel + revue de schema DB
🤖 Claude : audit du middleware de quota IA</t>
        </is>
      </c>
    </row>
    <row r="6" ht="70" customHeight="1">
      <c r="A6" s="19" t="inlineStr">
        <is>
          <t>5.2</t>
        </is>
      </c>
      <c r="B6" s="19" t="inlineStr">
        <is>
          <t>Savons-nous combien coûte chaque utilisateur en IA ?</t>
        </is>
      </c>
      <c r="C6" s="19" t="inlineStr">
        <is>
          <t>Coût par appel suivi et journalisé (tokens in/out × tarif modèle)</t>
        </is>
      </c>
      <c r="D6" s="19" t="inlineStr">
        <is>
          <t>Table d'usage IA ou métriques équivalentes</t>
        </is>
      </c>
      <c r="E6" s="24" t="inlineStr">
        <is>
          <t>🟡</t>
        </is>
      </c>
      <c r="F6" s="21" t="inlineStr">
        <is>
          <t>🔁</t>
        </is>
      </c>
      <c r="G6" s="22" t="inlineStr"/>
      <c r="H6" s="19" t="inlineStr"/>
      <c r="I6" s="23" t="inlineStr">
        <is>
          <t>🔧 Helicone (freemium) · LangSmith (freemium)
🤖 Claude : aide à l'instrumentation du logging coût</t>
        </is>
      </c>
    </row>
    <row r="7" ht="70" customHeight="1">
      <c r="A7" s="19" t="inlineStr">
        <is>
          <t>5.3</t>
        </is>
      </c>
      <c r="B7" s="19" t="inlineStr">
        <is>
          <t>Recevons-nous une alerte si la facture IA explose ?</t>
        </is>
      </c>
      <c r="C7" s="19" t="inlineStr">
        <is>
          <t>Budget global plateforme avec alerte automatique (quotidien + mensuel)</t>
        </is>
      </c>
      <c r="D7" s="19" t="inlineStr">
        <is>
          <t>Budget configuré côté fournisseur cloud + IA</t>
        </is>
      </c>
      <c r="E7" s="20" t="inlineStr">
        <is>
          <t>🔴</t>
        </is>
      </c>
      <c r="F7" s="21" t="inlineStr">
        <is>
          <t>🤖</t>
        </is>
      </c>
      <c r="G7" s="22" t="inlineStr"/>
      <c r="H7" s="19" t="inlineStr"/>
      <c r="I7" s="23" t="inlineStr">
        <is>
          <t>🔧 GCP / AWS / Azure Billing Alerts (gratuit) · OpenAI usage limits (gratuit)</t>
        </is>
      </c>
    </row>
    <row r="8" ht="70" customHeight="1">
      <c r="A8" s="19" t="inlineStr">
        <is>
          <t>5.4</t>
        </is>
      </c>
      <c r="B8" s="19" t="inlineStr">
        <is>
          <t>Un utilisateur peut-il envoyer un livre entier dans le prompt ?</t>
        </is>
      </c>
      <c r="C8" s="19" t="inlineStr">
        <is>
          <t>Limite max de tokens par requête (anti coût explosif)</t>
        </is>
      </c>
      <c r="D8" s="19" t="inlineStr">
        <is>
          <t>Input de 100 000 caractères → refusé avant appel IA ?</t>
        </is>
      </c>
      <c r="E8" s="20" t="inlineStr">
        <is>
          <t>🔴</t>
        </is>
      </c>
      <c r="F8" s="21" t="inlineStr">
        <is>
          <t>🤖</t>
        </is>
      </c>
      <c r="G8" s="22" t="inlineStr"/>
      <c r="H8" s="19" t="inlineStr"/>
      <c r="I8" s="23" t="inlineStr">
        <is>
          <t>🔧 tiktoken (gratuit) · audit code
🤖 Claude : audit des appels IA pour vérifier la troncature inputs</t>
        </is>
      </c>
    </row>
    <row r="9" ht="70" customHeight="1">
      <c r="A9" s="19" t="inlineStr">
        <is>
          <t>5.5</t>
        </is>
      </c>
      <c r="B9" s="19" t="inlineStr">
        <is>
          <t>Si quelqu'un spamme l'IA, ça nous coûte beaucoup ou ça plante ?</t>
        </is>
      </c>
      <c r="C9" s="19" t="inlineStr">
        <is>
          <t>Rate limit / file d'attente sur les calls IA (anti-DDoS coûteux)</t>
        </is>
      </c>
      <c r="D9" s="19" t="inlineStr">
        <is>
          <t>Burst 100 calls/sec → 429 ou queue ?</t>
        </is>
      </c>
      <c r="E9" s="24" t="inlineStr">
        <is>
          <t>🟡</t>
        </is>
      </c>
      <c r="F9" s="21" t="inlineStr">
        <is>
          <t>🤖</t>
        </is>
      </c>
      <c r="G9" s="22" t="inlineStr"/>
      <c r="H9" s="19" t="inlineStr"/>
      <c r="I9" s="23" t="inlineStr">
        <is>
          <t>🔧 k6 (gratuit) · curl loop</t>
        </is>
      </c>
    </row>
    <row r="10" ht="70" customHeight="1">
      <c r="A10" s="19" t="inlineStr">
        <is>
          <t>5.6</t>
        </is>
      </c>
      <c r="B10" s="19" t="inlineStr">
        <is>
          <t>Si 100 utilisateurs posent la même question, payons-nous 100 fois ?</t>
        </is>
      </c>
      <c r="C10" s="19" t="inlineStr">
        <is>
          <t>Cache des prompts répétés (même input → sortie servie depuis cache)</t>
        </is>
      </c>
      <c r="D10" s="19" t="inlineStr">
        <is>
          <t>2× la même requête → 2nd appel &lt; 100ms</t>
        </is>
      </c>
      <c r="E10" s="25" t="inlineStr">
        <is>
          <t>🟢</t>
        </is>
      </c>
      <c r="F10" s="21" t="inlineStr">
        <is>
          <t>🔁</t>
        </is>
      </c>
      <c r="G10" s="22" t="inlineStr"/>
      <c r="H10" s="19" t="inlineStr"/>
      <c r="I10" s="23" t="inlineStr">
        <is>
          <t>🔧 Anthropic prompt caching (inclus) · Redis cache custom
🤖 Claude : aide à la stratégie de cache (TTL, clés)</t>
        </is>
      </c>
    </row>
    <row r="11" ht="70" customHeight="1">
      <c r="A11" s="19" t="inlineStr">
        <is>
          <t>5.7</t>
        </is>
      </c>
      <c r="B11" s="19" t="inlineStr">
        <is>
          <t>Utilise-t-on le modèle le moins cher capable de faire le travail ?</t>
        </is>
      </c>
      <c r="C11" s="19" t="inlineStr">
        <is>
          <t>Modèle moins cher en fallback automatique sur les tâches simples</t>
        </is>
      </c>
      <c r="D11" s="19" t="inlineStr">
        <is>
          <t>Documentation du routing</t>
        </is>
      </c>
      <c r="E11" s="25" t="inlineStr">
        <is>
          <t>🟢</t>
        </is>
      </c>
      <c r="F11" s="21" t="inlineStr">
        <is>
          <t>🔁</t>
        </is>
      </c>
      <c r="G11" s="22" t="inlineStr"/>
      <c r="H11" s="19" t="inlineStr"/>
      <c r="I11" s="23" t="inlineStr">
        <is>
          <t>🔧 Audit code des appels modèle
🤖 Claude : aide à classer les tâches par complexité requise</t>
        </is>
      </c>
    </row>
    <row r="12" ht="70" customHeight="1">
      <c r="A12" s="19" t="inlineStr">
        <is>
          <t>5.8</t>
        </is>
      </c>
      <c r="B12" s="19" t="inlineStr">
        <is>
          <t>Si l'IA met 5 minutes à répondre, l'app reste-t-elle bloquée ?</t>
        </is>
      </c>
      <c r="C12" s="19" t="inlineStr">
        <is>
          <t>Timeout sur l'appel modèle (≤ 30s)</t>
        </is>
      </c>
      <c r="D12" s="19" t="inlineStr">
        <is>
          <t>Inspecter le code SDK + tester sur prompt lent</t>
        </is>
      </c>
      <c r="E12" s="24" t="inlineStr">
        <is>
          <t>🟡</t>
        </is>
      </c>
      <c r="F12" s="21" t="inlineStr">
        <is>
          <t>🤖</t>
        </is>
      </c>
      <c r="G12" s="22" t="inlineStr"/>
      <c r="H12" s="19" t="inlineStr"/>
      <c r="I12" s="23" t="inlineStr">
        <is>
          <t>🔧 grep sur les options SDK timeout</t>
        </is>
      </c>
    </row>
    <row r="13" ht="70" customHeight="1">
      <c r="A13" s="19" t="inlineStr">
        <is>
          <t>5.9</t>
        </is>
      </c>
      <c r="B13" s="19" t="inlineStr">
        <is>
          <t>Les utilisateurs gratuits ont-ils une limite claire de consommation IA ?</t>
        </is>
      </c>
      <c r="C13" s="19" t="inlineStr">
        <is>
          <t>Free tier limité : signup bonus, pas un quota infini</t>
        </is>
      </c>
      <c r="D13" s="19" t="inlineStr">
        <is>
          <t>Compte free → quota visible et opposable</t>
        </is>
      </c>
      <c r="E13" s="24" t="inlineStr">
        <is>
          <t>🟡</t>
        </is>
      </c>
      <c r="F13" s="21" t="inlineStr">
        <is>
          <t>🔁</t>
        </is>
      </c>
      <c r="G13" s="22" t="inlineStr"/>
      <c r="H13" s="19" t="inlineStr"/>
      <c r="I13" s="23" t="inlineStr">
        <is>
          <t>🔧 Test manuel signup → consommation</t>
        </is>
      </c>
    </row>
    <row r="14" ht="70" customHeight="1">
      <c r="A14" s="19" t="inlineStr">
        <is>
          <t>5.10</t>
        </is>
      </c>
      <c r="B14" s="19" t="inlineStr">
        <is>
          <t>Un retry technique fait-il payer deux fois l'utilisateur ?</t>
        </is>
      </c>
      <c r="C14" s="19" t="inlineStr">
        <is>
          <t>Idempotency sur les calls IA payés (retry réseau ne re-débite pas)</t>
        </is>
      </c>
      <c r="D14" s="19" t="inlineStr">
        <is>
          <t>Tester double-call avec idem-key</t>
        </is>
      </c>
      <c r="E14" s="24" t="inlineStr">
        <is>
          <t>🟡</t>
        </is>
      </c>
      <c r="F14" s="21" t="inlineStr">
        <is>
          <t>🔁</t>
        </is>
      </c>
      <c r="G14" s="22" t="inlineStr"/>
      <c r="H14" s="19" t="inlineStr"/>
      <c r="I14" s="23" t="inlineStr">
        <is>
          <t>🔧 Test manuel · revue code
🤖 Claude : audit des appels IA débités pour vérifier l'idempotency-key</t>
        </is>
      </c>
    </row>
    <row r="15" ht="70" customHeight="1">
      <c r="A15" s="19" t="inlineStr">
        <is>
          <t>5.11</t>
        </is>
      </c>
      <c r="B15" s="19" t="inlineStr">
        <is>
          <t>L'utilisateur voit-il la réponse arriver progressivement, ou attend-il un bloc ?</t>
        </is>
      </c>
      <c r="C15" s="19" t="inlineStr">
        <is>
          <t>Streaming activé pour les réponses longues (réduit perceived latency)</t>
        </is>
      </c>
      <c r="D15" s="19" t="inlineStr">
        <is>
          <t>Calls retournent en SSE/chunks ?</t>
        </is>
      </c>
      <c r="E15" s="25" t="inlineStr">
        <is>
          <t>🟢</t>
        </is>
      </c>
      <c r="F15" s="21" t="inlineStr">
        <is>
          <t>🔁</t>
        </is>
      </c>
      <c r="G15" s="22" t="inlineStr"/>
      <c r="H15" s="19" t="inlineStr"/>
      <c r="I15" s="23" t="inlineStr">
        <is>
          <t>🔧 DevTools Network (gratuit)</t>
        </is>
      </c>
    </row>
  </sheetData>
  <mergeCells count="2">
    <mergeCell ref="A1:I1"/>
    <mergeCell ref="A2:I2"/>
  </mergeCells>
  <conditionalFormatting sqref="G5:G15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6. IA — Gouvernance &amp; cadre légal</t>
        </is>
      </c>
    </row>
    <row r="2">
      <c r="A2" s="2" t="inlineStr">
        <is>
          <t>Transparence, classification AI Act, opt-out training, watermarking, model cards, audit-trail.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6.1</t>
        </is>
      </c>
      <c r="B5" s="19" t="inlineStr">
        <is>
          <t>Les utilisateurs savent-ils quelle IA on utilise et pourquoi ?</t>
        </is>
      </c>
      <c r="C5" s="19" t="inlineStr">
        <is>
          <t>Modèle(s) utilisé(s) + finalité divulgué(s) dans CGU + politique de confidentialité</t>
        </is>
      </c>
      <c r="D5" s="19" t="inlineStr">
        <is>
          <t>Section IA explicite ?</t>
        </is>
      </c>
      <c r="E5" s="20" t="inlineStr">
        <is>
          <t>🔴</t>
        </is>
      </c>
      <c r="F5" s="21" t="inlineStr">
        <is>
          <t>👤</t>
        </is>
      </c>
      <c r="G5" s="22" t="inlineStr"/>
      <c r="H5" s="19" t="inlineStr">
        <is>
          <t>⚠️ Validation juridique</t>
        </is>
      </c>
      <c r="I5" s="23" t="inlineStr">
        <is>
          <t>🔧 —
🤖 Claude : rédaction de la section IA dans les CGU et privacy policy</t>
        </is>
      </c>
    </row>
    <row r="6" ht="70" customHeight="1">
      <c r="A6" s="19" t="inlineStr">
        <is>
          <t>6.2</t>
        </is>
      </c>
      <c r="B6" s="19" t="inlineStr">
        <is>
          <t>L'utilisateur consent-il avant qu'une IA prenne une décision le concernant ?</t>
        </is>
      </c>
      <c r="C6" s="19" t="inlineStr">
        <is>
          <t>Consentement explicite si l'IA prend une décision impactante</t>
        </is>
      </c>
      <c r="D6" s="19" t="inlineStr">
        <is>
          <t>UI de consentement avant feature IA-décisionnelle</t>
        </is>
      </c>
      <c r="E6" s="24" t="inlineStr">
        <is>
          <t>🟡</t>
        </is>
      </c>
      <c r="F6" s="21" t="inlineStr">
        <is>
          <t>🔁</t>
        </is>
      </c>
      <c r="G6" s="22" t="inlineStr"/>
      <c r="H6" s="19" t="inlineStr">
        <is>
          <t>⚠️ AI Act art. 14</t>
        </is>
      </c>
      <c r="I6" s="23" t="inlineStr">
        <is>
          <t>🔧 Audit UX (gratuit)</t>
        </is>
      </c>
    </row>
    <row r="7" ht="70" customHeight="1">
      <c r="A7" s="19" t="inlineStr">
        <is>
          <t>6.3</t>
        </is>
      </c>
      <c r="B7" s="19" t="inlineStr">
        <is>
          <t>Avons-nous classé notre IA selon le AI Act européen ?</t>
        </is>
      </c>
      <c r="C7" s="19" t="inlineStr">
        <is>
          <t>Classification du système IA selon le cadre applicable (ex. EU AI Act)</t>
        </is>
      </c>
      <c r="D7" s="19" t="inlineStr">
        <is>
          <t>Classification documentée + actions selon catégorie</t>
        </is>
      </c>
      <c r="E7" s="24" t="inlineStr">
        <is>
          <t>🟡</t>
        </is>
      </c>
      <c r="F7" s="21" t="inlineStr">
        <is>
          <t>👤</t>
        </is>
      </c>
      <c r="G7" s="22" t="inlineStr"/>
      <c r="H7" s="19" t="inlineStr">
        <is>
          <t>⚠️ Décision juridique</t>
        </is>
      </c>
      <c r="I7" s="23" t="inlineStr">
        <is>
          <t>🔧 Modèle d'auto-évaluation Commission UE
🤖 Claude : aide à la classification + checklist obligations selon catégorie</t>
        </is>
      </c>
    </row>
    <row r="8" ht="70" customHeight="1">
      <c r="A8" s="19" t="inlineStr">
        <is>
          <t>6.4</t>
        </is>
      </c>
      <c r="B8" s="19" t="inlineStr">
        <is>
          <t>L'utilisateur peut-il refuser que ses données servent à entraîner l'IA ?</t>
        </is>
      </c>
      <c r="C8" s="19" t="inlineStr">
        <is>
          <t>Opt-out fourniture de données pour entraînement</t>
        </is>
      </c>
      <c r="D8" s="19" t="inlineStr">
        <is>
          <t>Setting utilisateur 'Ne pas utiliser mes données'</t>
        </is>
      </c>
      <c r="E8" s="24" t="inlineStr">
        <is>
          <t>🟡</t>
        </is>
      </c>
      <c r="F8" s="21" t="inlineStr">
        <is>
          <t>🔁</t>
        </is>
      </c>
      <c r="G8" s="22" t="inlineStr"/>
      <c r="H8" s="19" t="inlineStr"/>
      <c r="I8" s="23" t="inlineStr">
        <is>
          <t>🔧 Audit UX (gratuit)</t>
        </is>
      </c>
    </row>
    <row r="9" ht="70" customHeight="1">
      <c r="A9" s="19" t="inlineStr">
        <is>
          <t>6.5</t>
        </is>
      </c>
      <c r="B9" s="19" t="inlineStr">
        <is>
          <t>Si on génère des images ou vidéos, sont-elles identifiables comme IA ?</t>
        </is>
      </c>
      <c r="C9" s="19" t="inlineStr">
        <is>
          <t>Watermarking / disclosure si output confondable avec contenu humain (deepfake)</t>
        </is>
      </c>
      <c r="D9" s="19" t="inlineStr">
        <is>
          <t>UI/metadata signalent l'origine IA</t>
        </is>
      </c>
      <c r="E9" s="25" t="inlineStr">
        <is>
          <t>🟢</t>
        </is>
      </c>
      <c r="F9" s="21" t="inlineStr">
        <is>
          <t>🔁</t>
        </is>
      </c>
      <c r="G9" s="22" t="inlineStr"/>
      <c r="H9" s="19" t="inlineStr">
        <is>
          <t>⚠️ AI Act art. 50</t>
        </is>
      </c>
      <c r="I9" s="23" t="inlineStr">
        <is>
          <t>🔧 SynthID (gratuit Google) · C2PA standards</t>
        </is>
      </c>
    </row>
    <row r="10" ht="70" customHeight="1">
      <c r="A10" s="19" t="inlineStr">
        <is>
          <t>6.6</t>
        </is>
      </c>
      <c r="B10" s="19" t="inlineStr">
        <is>
          <t>Le fournisseur d'IA est-il dans notre registre des sous-traitants RGPD ?</t>
        </is>
      </c>
      <c r="C10" s="19" t="inlineStr">
        <is>
          <t>Provider IA déclaré comme sous-traitant dans le registre (DPA signé)</t>
        </is>
      </c>
      <c r="D10" s="19" t="inlineStr">
        <is>
          <t>Registre à jour</t>
        </is>
      </c>
      <c r="E10" s="20" t="inlineStr">
        <is>
          <t>🔴</t>
        </is>
      </c>
      <c r="F10" s="21" t="inlineStr">
        <is>
          <t>👤</t>
        </is>
      </c>
      <c r="G10" s="22" t="inlineStr"/>
      <c r="H10" s="19" t="inlineStr"/>
      <c r="I10" s="23" t="inlineStr">
        <is>
          <t>🔧 Registre des sous-traitants</t>
        </is>
      </c>
    </row>
    <row r="11" ht="70" customHeight="1">
      <c r="A11" s="19" t="inlineStr">
        <is>
          <t>6.7</t>
        </is>
      </c>
      <c r="B11" s="19" t="inlineStr">
        <is>
          <t>Avons-nous documenté ce que l'IA sait faire et ce qu'elle ne sait pas faire ?</t>
        </is>
      </c>
      <c r="C11" s="19" t="inlineStr">
        <is>
          <t>Model card disponible (description, biais connus, limitations)</t>
        </is>
      </c>
      <c r="D11" s="19" t="inlineStr">
        <is>
          <t>Document accessible aux utilisateurs business</t>
        </is>
      </c>
      <c r="E11" s="25" t="inlineStr">
        <is>
          <t>🟢</t>
        </is>
      </c>
      <c r="F11" s="21" t="inlineStr">
        <is>
          <t>👤</t>
        </is>
      </c>
      <c r="G11" s="22" t="inlineStr"/>
      <c r="H11" s="19" t="inlineStr"/>
      <c r="I11" s="23" t="inlineStr">
        <is>
          <t>🔧 Modèle Hugging Face model card
🤖 Claude : rédaction de la model card à partir d'une description du système</t>
        </is>
      </c>
    </row>
    <row r="12" ht="70" customHeight="1">
      <c r="A12" s="19" t="inlineStr">
        <is>
          <t>6.8</t>
        </is>
      </c>
      <c r="B12" s="19" t="inlineStr">
        <is>
          <t>Une décision importante (refus, suspension) est-elle prise par l'IA seule ?</t>
        </is>
      </c>
      <c r="C12" s="19" t="inlineStr">
        <is>
          <t>Pas de décision purement automatisée à effet significatif sans humain dans la boucle</t>
        </is>
      </c>
      <c r="D12" s="19" t="inlineStr">
        <is>
          <t>Audit features IA → identifier décisions auto à fort impact</t>
        </is>
      </c>
      <c r="E12" s="20" t="inlineStr">
        <is>
          <t>🔴</t>
        </is>
      </c>
      <c r="F12" s="21" t="inlineStr">
        <is>
          <t>🔁</t>
        </is>
      </c>
      <c r="G12" s="22" t="inlineStr"/>
      <c r="H12" s="19" t="inlineStr">
        <is>
          <t>⚠️ RGPD art. 22 + AI Act</t>
        </is>
      </c>
      <c r="I12" s="23" t="inlineStr">
        <is>
          <t>🔧 Audit des features IA
🤖 Claude : identification des décisions automatisées à fort impact</t>
        </is>
      </c>
    </row>
    <row r="13" ht="70" customHeight="1">
      <c r="A13" s="19" t="inlineStr">
        <is>
          <t>6.9</t>
        </is>
      </c>
      <c r="B13" s="19" t="inlineStr">
        <is>
          <t>Pouvons-nous reconstituer ce que l'IA a fait pour un utilisateur donné ?</t>
        </is>
      </c>
      <c r="C13" s="19" t="inlineStr">
        <is>
          <t>Logs d'inférence IA conservés (audit-trail) : prompt + timestamp + user</t>
        </is>
      </c>
      <c r="D13" s="19" t="inlineStr">
        <is>
          <t>Table de logs des prompts/outputs</t>
        </is>
      </c>
      <c r="E13" s="24" t="inlineStr">
        <is>
          <t>🟡</t>
        </is>
      </c>
      <c r="F13" s="21" t="inlineStr">
        <is>
          <t>🔁</t>
        </is>
      </c>
      <c r="G13" s="22" t="inlineStr"/>
      <c r="H13" s="19" t="inlineStr">
        <is>
          <t>⚠️ Anonymisation des prompts sensibles à étudier</t>
        </is>
      </c>
      <c r="I13" s="23" t="inlineStr">
        <is>
          <t>🔧 Helicone (freemium) · audit logs DB</t>
        </is>
      </c>
    </row>
    <row r="14" ht="70" customHeight="1">
      <c r="A14" s="19" t="inlineStr">
        <is>
          <t>6.10</t>
        </is>
      </c>
      <c r="B14" s="19" t="inlineStr">
        <is>
          <t>Sait-on précisément quelles données vont vers l'IA et ce qui en revient ?</t>
        </is>
      </c>
      <c r="C14" s="19" t="inlineStr">
        <is>
          <t>Documentation interne du flux IA (data lineage)</t>
        </is>
      </c>
      <c r="D14" s="19" t="inlineStr">
        <is>
          <t>Diagramme + doc d'architecture IA</t>
        </is>
      </c>
      <c r="E14" s="25" t="inlineStr">
        <is>
          <t>🟢</t>
        </is>
      </c>
      <c r="F14" s="21" t="inlineStr">
        <is>
          <t>👤</t>
        </is>
      </c>
      <c r="G14" s="22" t="inlineStr"/>
      <c r="H14" s="19" t="inlineStr"/>
      <c r="I14" s="23" t="inlineStr">
        <is>
          <t>🔧 Mermaid / draw.io (gratuit)
🤖 Claude : génération du diagramme de data lineage depuis le code</t>
        </is>
      </c>
    </row>
    <row r="15" ht="70" customHeight="1">
      <c r="A15" s="19" t="inlineStr">
        <is>
          <t>6.11</t>
        </is>
      </c>
      <c r="B15" s="19" t="inlineStr">
        <is>
          <t>Un utilisateur peut-il contester une décision prise par l'IA ?</t>
        </is>
      </c>
      <c r="C15" s="19" t="inlineStr">
        <is>
          <t>Process documenté pour traiter une plainte sur une décision IA (recours humain)</t>
        </is>
      </c>
      <c r="D15" s="19" t="inlineStr">
        <is>
          <t>Endpoint d'appel + email dédié</t>
        </is>
      </c>
      <c r="E15" s="24" t="inlineStr">
        <is>
          <t>🟡</t>
        </is>
      </c>
      <c r="F15" s="21" t="inlineStr">
        <is>
          <t>👤</t>
        </is>
      </c>
      <c r="G15" s="22" t="inlineStr"/>
      <c r="H15" s="19" t="inlineStr">
        <is>
          <t>⚠️ AI Act art. 20 + DSA art. 20</t>
        </is>
      </c>
      <c r="I15" s="23" t="inlineStr">
        <is>
          <t>🔧 —</t>
        </is>
      </c>
    </row>
  </sheetData>
  <mergeCells count="2">
    <mergeCell ref="A1:I1"/>
    <mergeCell ref="A2:I2"/>
  </mergeCells>
  <conditionalFormatting sqref="G5:G15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7. Architecture &amp; Scalabilité</t>
        </is>
      </c>
    </row>
    <row r="2">
      <c r="A2" s="2" t="inlineStr">
        <is>
          <t>Stateless, DB pool, rate-limiter persistent, webhook idempotency, queue, backup, multi-env.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7.1</t>
        </is>
      </c>
      <c r="B5" s="19" t="inlineStr">
        <is>
          <t>Si on multiplie les serveurs, l'app fonctionne-t-elle toujours ?</t>
        </is>
      </c>
      <c r="C5" s="19" t="inlineStr">
        <is>
          <t>Backend stateless (instances interchangeables, pas de session en mémoire)</t>
        </is>
      </c>
      <c r="D5" s="19" t="inlineStr">
        <is>
          <t>Tuer une instance pendant une opération → reprise propre ?</t>
        </is>
      </c>
      <c r="E5" s="20" t="inlineStr">
        <is>
          <t>🔴</t>
        </is>
      </c>
      <c r="F5" s="21" t="inlineStr">
        <is>
          <t>🔁</t>
        </is>
      </c>
      <c r="G5" s="22" t="inlineStr"/>
      <c r="H5" s="19" t="inlineStr"/>
      <c r="I5" s="23" t="inlineStr">
        <is>
          <t>🔧 Tests chaos engineering · Cloud Run / k8s test
🤖 Claude : audit du code pour détecter les états en mémoire</t>
        </is>
      </c>
    </row>
    <row r="6" ht="70" customHeight="1">
      <c r="A6" s="19" t="inlineStr">
        <is>
          <t>7.2</t>
        </is>
      </c>
      <c r="B6" s="19" t="inlineStr">
        <is>
          <t>Une montée de charge peut-elle saturer notre base de données ?</t>
        </is>
      </c>
      <c r="C6" s="19" t="inlineStr">
        <is>
          <t>Pool de connexions DB borné avec timeout court</t>
        </is>
      </c>
      <c r="D6" s="19" t="inlineStr">
        <is>
          <t>Inspecter la config de la couche d'accès aux données</t>
        </is>
      </c>
      <c r="E6" s="20" t="inlineStr">
        <is>
          <t>🔴</t>
        </is>
      </c>
      <c r="F6" s="21" t="inlineStr">
        <is>
          <t>🤖</t>
        </is>
      </c>
      <c r="G6" s="22" t="inlineStr"/>
      <c r="H6" s="19" t="inlineStr"/>
      <c r="I6" s="23" t="inlineStr">
        <is>
          <t>🔧 Audit config Prisma / Sequelize / SQLAlchemy
🤖 Claude : revue de la config DB pool</t>
        </is>
      </c>
    </row>
    <row r="7" ht="70" customHeight="1">
      <c r="A7" s="19" t="inlineStr">
        <is>
          <t>7.3</t>
        </is>
      </c>
      <c r="B7" s="19" t="inlineStr">
        <is>
          <t>Le rate limit fonctionne-t-il même avec plusieurs serveurs en parallèle ?</t>
        </is>
      </c>
      <c r="C7" s="19" t="inlineStr">
        <is>
          <t>Rate-limiter persistant (store partagé) si multi-instance</t>
        </is>
      </c>
      <c r="D7" s="19" t="inlineStr">
        <is>
          <t>Compteur centralisé ?</t>
        </is>
      </c>
      <c r="E7" s="24" t="inlineStr">
        <is>
          <t>🟡</t>
        </is>
      </c>
      <c r="F7" s="21" t="inlineStr">
        <is>
          <t>🤖</t>
        </is>
      </c>
      <c r="G7" s="22" t="inlineStr"/>
      <c r="H7" s="19" t="inlineStr"/>
      <c r="I7" s="23" t="inlineStr">
        <is>
          <t>🔧 Redis (gratuit self-host) · Upstash (freemium)
🤖 Claude : audit code rate-limiter</t>
        </is>
      </c>
    </row>
    <row r="8" ht="70" customHeight="1">
      <c r="A8" s="19" t="inlineStr">
        <is>
          <t>7.4</t>
        </is>
      </c>
      <c r="B8" s="19" t="inlineStr">
        <is>
          <t>Si Stripe nous envoie deux fois le même événement, on traite deux fois ?</t>
        </is>
      </c>
      <c r="C8" s="19" t="inlineStr">
        <is>
          <t>Idempotency sur webhooks externes via table dédiée</t>
        </is>
      </c>
      <c r="D8" s="19" t="inlineStr">
        <is>
          <t>Re-jouer le même webhook → pas de double traitement</t>
        </is>
      </c>
      <c r="E8" s="20" t="inlineStr">
        <is>
          <t>🔴</t>
        </is>
      </c>
      <c r="F8" s="21" t="inlineStr">
        <is>
          <t>🔁</t>
        </is>
      </c>
      <c r="G8" s="22" t="inlineStr"/>
      <c r="H8" s="19" t="inlineStr"/>
      <c r="I8" s="23" t="inlineStr">
        <is>
          <t>🔧 Test manuel via webhook replay · audit code
🤖 Claude : audit des webhook handlers</t>
        </is>
      </c>
    </row>
    <row r="9" ht="70" customHeight="1">
      <c r="A9" s="19" t="inlineStr">
        <is>
          <t>7.5</t>
        </is>
      </c>
      <c r="B9" s="19" t="inlineStr">
        <is>
          <t>Les opérations longues bloquent-elles l'utilisateur ou tournent-elles en fond ?</t>
        </is>
      </c>
      <c r="C9" s="19" t="inlineStr">
        <is>
          <t>Job queue pour les tâches lourdes (encodage, IA longue, emails masse)</t>
        </is>
      </c>
      <c r="D9" s="19" t="inlineStr">
        <is>
          <t>Worker / queue / task system existe</t>
        </is>
      </c>
      <c r="E9" s="24" t="inlineStr">
        <is>
          <t>🟡</t>
        </is>
      </c>
      <c r="F9" s="21" t="inlineStr">
        <is>
          <t>🤖</t>
        </is>
      </c>
      <c r="G9" s="22" t="inlineStr"/>
      <c r="H9" s="19" t="inlineStr"/>
      <c r="I9" s="23" t="inlineStr">
        <is>
          <t>🔧 Cloud Tasks (GCP) · SQS (AWS) · BullMQ (gratuit)</t>
        </is>
      </c>
    </row>
    <row r="10" ht="70" customHeight="1">
      <c r="A10" s="19" t="inlineStr">
        <is>
          <t>7.6</t>
        </is>
      </c>
      <c r="B10" s="19" t="inlineStr">
        <is>
          <t>Les images et JS se chargent-ils vite depuis l'international ?</t>
        </is>
      </c>
      <c r="C10" s="19" t="inlineStr">
        <is>
          <t>CDN devant les assets statiques</t>
        </is>
      </c>
      <c r="D10" s="19" t="inlineStr">
        <is>
          <t>Cache-Control headers sur /assets/</t>
        </is>
      </c>
      <c r="E10" s="25" t="inlineStr">
        <is>
          <t>🟢</t>
        </is>
      </c>
      <c r="F10" s="21" t="inlineStr">
        <is>
          <t>🤖</t>
        </is>
      </c>
      <c r="G10" s="22" t="inlineStr"/>
      <c r="H10" s="19" t="inlineStr"/>
      <c r="I10" s="23" t="inlineStr">
        <is>
          <t>🔧 Cloudflare (gratuit) · Lighthouse (gratuit)</t>
        </is>
      </c>
    </row>
    <row r="11" ht="70" customHeight="1">
      <c r="A11" s="19" t="inlineStr">
        <is>
          <t>7.7</t>
        </is>
      </c>
      <c r="B11" s="19" t="inlineStr">
        <is>
          <t>En cas de panne d'un fournisseur, pouvons-nous le diagnostiquer rapidement ?</t>
        </is>
      </c>
      <c r="C11" s="19" t="inlineStr">
        <is>
          <t>Health checks sur tous les services externes (DB, stockage, paiement, IA, email)</t>
        </is>
      </c>
      <c r="D11" s="19" t="inlineStr">
        <is>
          <t>Endpoint /health retourne le statut de chaque dépendance</t>
        </is>
      </c>
      <c r="E11" s="24" t="inlineStr">
        <is>
          <t>🟡</t>
        </is>
      </c>
      <c r="F11" s="21" t="inlineStr">
        <is>
          <t>🤖</t>
        </is>
      </c>
      <c r="G11" s="22" t="inlineStr"/>
      <c r="H11" s="19" t="inlineStr"/>
      <c r="I11" s="23" t="inlineStr">
        <is>
          <t>🔧 Audit endpoint /health
🤖 Claude : génération du endpoint health avec checks par dépendance</t>
        </is>
      </c>
    </row>
    <row r="12" ht="70" customHeight="1">
      <c r="A12" s="19" t="inlineStr">
        <is>
          <t>7.8</t>
        </is>
      </c>
      <c r="B12" s="19" t="inlineStr">
        <is>
          <t>Pouvons-nous déployer une nouvelle version sans risquer de casser la base ?</t>
        </is>
      </c>
      <c r="C12" s="19" t="inlineStr">
        <is>
          <t>Migration DB testée sur staging avant prod, idempotente, réversible</t>
        </is>
      </c>
      <c r="D12" s="19" t="inlineStr">
        <is>
          <t>Process de release documenté</t>
        </is>
      </c>
      <c r="E12" s="20" t="inlineStr">
        <is>
          <t>🔴</t>
        </is>
      </c>
      <c r="F12" s="21" t="inlineStr">
        <is>
          <t>🔁</t>
        </is>
      </c>
      <c r="G12" s="22" t="inlineStr"/>
      <c r="H12" s="19" t="inlineStr">
        <is>
          <t>⚠️ Backup avant migration prod obligatoire</t>
        </is>
      </c>
      <c r="I12" s="23" t="inlineStr">
        <is>
          <t>🔧 Prisma Migrate (gratuit) · Flyway (gratuit)
🤖 Claude : revue d'une migration pour identifier les risques (DROP, ALTER non-null)</t>
        </is>
      </c>
    </row>
    <row r="13" ht="70" customHeight="1">
      <c r="A13" s="19" t="inlineStr">
        <is>
          <t>7.9</t>
        </is>
      </c>
      <c r="B13" s="19" t="inlineStr">
        <is>
          <t>Avons-nous déjà testé que nos backups marchent vraiment ?</t>
        </is>
      </c>
      <c r="C13" s="19" t="inlineStr">
        <is>
          <t>Backup DB automatique + retention ≥ 7 jours + restore testé</t>
        </is>
      </c>
      <c r="D13" s="19" t="inlineStr">
        <is>
          <t>Plan DR + dernier test de restore daté</t>
        </is>
      </c>
      <c r="E13" s="20" t="inlineStr">
        <is>
          <t>🔴</t>
        </is>
      </c>
      <c r="F13" s="21" t="inlineStr">
        <is>
          <t>🔁</t>
        </is>
      </c>
      <c r="G13" s="22" t="inlineStr"/>
      <c r="H13" s="19" t="inlineStr">
        <is>
          <t>⚠️ Test de restore réel obligatoire, pas simulable</t>
        </is>
      </c>
      <c r="I13" s="23" t="inlineStr">
        <is>
          <t>🔧 Cloud SQL backups · pgBackRest (gratuit)</t>
        </is>
      </c>
    </row>
    <row r="14" ht="70" customHeight="1">
      <c r="A14" s="19" t="inlineStr">
        <is>
          <t>7.10</t>
        </is>
      </c>
      <c r="B14" s="19" t="inlineStr">
        <is>
          <t>Si une zone cloud tombe, l'app reste-t-elle accessible ?</t>
        </is>
      </c>
      <c r="C14" s="19" t="inlineStr">
        <is>
          <t>Pas de single point of failure critique (DB répliquée, service critique multi-zones)</t>
        </is>
      </c>
      <c r="D14" s="19" t="inlineStr">
        <is>
          <t>Diagramme + plan DR</t>
        </is>
      </c>
      <c r="E14" s="24" t="inlineStr">
        <is>
          <t>🟡</t>
        </is>
      </c>
      <c r="F14" s="21" t="inlineStr">
        <is>
          <t>👤</t>
        </is>
      </c>
      <c r="G14" s="22" t="inlineStr"/>
      <c r="H14" s="19" t="inlineStr"/>
      <c r="I14" s="23" t="inlineStr">
        <is>
          <t>🔧 Audit architecture
🤖 Claude : revue de l'architecture pour identifier les SPOF</t>
        </is>
      </c>
    </row>
    <row r="15" ht="70" customHeight="1">
      <c r="A15" s="19" t="inlineStr">
        <is>
          <t>7.11</t>
        </is>
      </c>
      <c r="B15" s="19" t="inlineStr">
        <is>
          <t>Si on a 10× plus d'utilisateurs demain, l'app tient ?</t>
        </is>
      </c>
      <c r="C15" s="19" t="inlineStr">
        <is>
          <t>Capacité à scaler horizontalement (charge × 10 sans refactor)</t>
        </is>
      </c>
      <c r="D15" s="19" t="inlineStr">
        <is>
          <t>Test charge ou audit d'archi</t>
        </is>
      </c>
      <c r="E15" s="24" t="inlineStr">
        <is>
          <t>🟡</t>
        </is>
      </c>
      <c r="F15" s="21" t="inlineStr">
        <is>
          <t>🔁</t>
        </is>
      </c>
      <c r="G15" s="22" t="inlineStr"/>
      <c r="H15" s="19" t="inlineStr"/>
      <c r="I15" s="23" t="inlineStr">
        <is>
          <t>🔧 k6 (gratuit) · Locust (gratuit) · Artillery (gratuit)
🤖 Claude : aide à l'écriture du script de test de charge</t>
        </is>
      </c>
    </row>
    <row r="16" ht="70" customHeight="1">
      <c r="A16" s="19" t="inlineStr">
        <is>
          <t>7.12</t>
        </is>
      </c>
      <c r="B16" s="19" t="inlineStr">
        <is>
          <t>Les bases de test sont-elles totalement séparées de la prod ?</t>
        </is>
      </c>
      <c r="C16" s="19" t="inlineStr">
        <is>
          <t>Environnements séparés (dev / staging / prod) avec secrets distincts</t>
        </is>
      </c>
      <c r="D16" s="19" t="inlineStr">
        <is>
          <t>Variables d'env propres à chaque environnement</t>
        </is>
      </c>
      <c r="E16" s="20" t="inlineStr">
        <is>
          <t>🔴</t>
        </is>
      </c>
      <c r="F16" s="21" t="inlineStr">
        <is>
          <t>🤖</t>
        </is>
      </c>
      <c r="G16" s="22" t="inlineStr"/>
      <c r="H16" s="19" t="inlineStr"/>
      <c r="I16" s="23" t="inlineStr">
        <is>
          <t>🔧 Audit config CI/CD + secret manager</t>
        </is>
      </c>
    </row>
  </sheetData>
  <mergeCells count="2">
    <mergeCell ref="A1:I1"/>
    <mergeCell ref="A2:I2"/>
  </mergeCells>
  <conditionalFormatting sqref="G5:G16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8. Paiement &amp; Monétisation</t>
        </is>
      </c>
    </row>
    <row r="2">
      <c r="A2" s="2" t="inlineStr">
        <is>
          <t>Webhooks, idempotency, dunning, refunds, taxes, facturation, KYC marketplace, métriques.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8.1</t>
        </is>
      </c>
      <c r="B5" s="19" t="inlineStr">
        <is>
          <t>Stripe nous envoie deux fois le même paiement — l'utilisateur est-il débité deux fois ?</t>
        </is>
      </c>
      <c r="C5" s="19" t="inlineStr">
        <is>
          <t>Webhooks paiement avec idempotency stockée (event ID en DB)</t>
        </is>
      </c>
      <c r="D5" s="19" t="inlineStr">
        <is>
          <t>Re-jouer un webhook 2× → pas de double traitement</t>
        </is>
      </c>
      <c r="E5" s="20" t="inlineStr">
        <is>
          <t>🔴</t>
        </is>
      </c>
      <c r="F5" s="21" t="inlineStr">
        <is>
          <t>🔁</t>
        </is>
      </c>
      <c r="G5" s="22" t="inlineStr"/>
      <c r="H5" s="19" t="inlineStr"/>
      <c r="I5" s="23" t="inlineStr">
        <is>
          <t>🔧 Stripe CLI replay (gratuit)
🤖 Claude : audit des handlers webhook</t>
        </is>
      </c>
    </row>
    <row r="6" ht="70" customHeight="1">
      <c r="A6" s="19" t="inlineStr">
        <is>
          <t>8.2</t>
        </is>
      </c>
      <c r="B6" s="19" t="inlineStr">
        <is>
          <t>Quelqu'un peut-il nous envoyer un faux paiement pour activer un compte premium ?</t>
        </is>
      </c>
      <c r="C6" s="19" t="inlineStr">
        <is>
          <t>Webhooks paiement vérifient la signature du provider</t>
        </is>
      </c>
      <c r="D6" s="19" t="inlineStr">
        <is>
          <t>Inspecter le code webhook</t>
        </is>
      </c>
      <c r="E6" s="20" t="inlineStr">
        <is>
          <t>🔴</t>
        </is>
      </c>
      <c r="F6" s="21" t="inlineStr">
        <is>
          <t>🤖</t>
        </is>
      </c>
      <c r="G6" s="22" t="inlineStr"/>
      <c r="H6" s="19" t="inlineStr"/>
      <c r="I6" s="23" t="inlineStr">
        <is>
          <t>🔧 Audit code
🤖 Claude : vérification que tous les webhooks valident leur signature</t>
        </is>
      </c>
    </row>
    <row r="7" ht="70" customHeight="1">
      <c r="A7" s="19" t="inlineStr">
        <is>
          <t>8.3</t>
        </is>
      </c>
      <c r="B7" s="19" t="inlineStr">
        <is>
          <t>Si notre webhook a raté un événement Stripe, l'état se rattrape-t-il automatiquement ?</t>
        </is>
      </c>
      <c r="C7" s="19" t="inlineStr">
        <is>
          <t>Subscription / facturation synchronisé DB ↔ provider (cron de réconciliation)</t>
        </is>
      </c>
      <c r="D7" s="19" t="inlineStr">
        <is>
          <t>Job de réconciliation existe ?</t>
        </is>
      </c>
      <c r="E7" s="24" t="inlineStr">
        <is>
          <t>🟡</t>
        </is>
      </c>
      <c r="F7" s="21" t="inlineStr">
        <is>
          <t>🔁</t>
        </is>
      </c>
      <c r="G7" s="22" t="inlineStr"/>
      <c r="H7" s="19" t="inlineStr"/>
      <c r="I7" s="23" t="inlineStr">
        <is>
          <t>🔧 Cron job custom · revue code
🤖 Claude : aide à écrire le job de réconciliation</t>
        </is>
      </c>
    </row>
    <row r="8" ht="70" customHeight="1">
      <c r="A8" s="19" t="inlineStr">
        <is>
          <t>8.4</t>
        </is>
      </c>
      <c r="B8" s="19" t="inlineStr">
        <is>
          <t>Quand un paiement échoue, que se passe-t-il pour l'utilisateur ?</t>
        </is>
      </c>
      <c r="C8" s="19" t="inlineStr">
        <is>
          <t>Past-due / dunning : grace period documentée puis blocage features payantes</t>
        </is>
      </c>
      <c r="D8" s="19" t="inlineStr">
        <is>
          <t>Tester invoice failed → comportement attendu</t>
        </is>
      </c>
      <c r="E8" s="24" t="inlineStr">
        <is>
          <t>🟡</t>
        </is>
      </c>
      <c r="F8" s="21" t="inlineStr">
        <is>
          <t>🔁</t>
        </is>
      </c>
      <c r="G8" s="22" t="inlineStr"/>
      <c r="H8" s="19" t="inlineStr"/>
      <c r="I8" s="23" t="inlineStr">
        <is>
          <t>🔧 Stripe test mode · test manuel</t>
        </is>
      </c>
    </row>
    <row r="9" ht="70" customHeight="1">
      <c r="A9" s="19" t="inlineStr">
        <is>
          <t>8.5</t>
        </is>
      </c>
      <c r="B9" s="19" t="inlineStr">
        <is>
          <t>Un utilisateur insatisfait sait-il comment se faire rembourser ?</t>
        </is>
      </c>
      <c r="C9" s="19" t="inlineStr">
        <is>
          <t>Process refund documenté (conditions, délai, qui peut le faire)</t>
        </is>
      </c>
      <c r="D9" s="19" t="inlineStr">
        <is>
          <t>Self-service ou support clair</t>
        </is>
      </c>
      <c r="E9" s="24" t="inlineStr">
        <is>
          <t>🟡</t>
        </is>
      </c>
      <c r="F9" s="21" t="inlineStr">
        <is>
          <t>👤</t>
        </is>
      </c>
      <c r="G9" s="22" t="inlineStr"/>
      <c r="H9" s="19" t="inlineStr"/>
      <c r="I9" s="23" t="inlineStr">
        <is>
          <t>🔧 —
🤖 Claude : rédaction de la politique de remboursement et FAQ associée</t>
        </is>
      </c>
    </row>
    <row r="10" ht="70" customHeight="1">
      <c r="A10" s="19" t="inlineStr">
        <is>
          <t>8.6</t>
        </is>
      </c>
      <c r="B10" s="19" t="inlineStr">
        <is>
          <t>Facturons-nous la bonne TVA selon le pays de l'acheteur ?</t>
        </is>
      </c>
      <c r="C10" s="19" t="inlineStr">
        <is>
          <t>Taxes (TVA, sales tax) calculées correctement selon pays acheteur</t>
        </is>
      </c>
      <c r="D10" s="19" t="inlineStr">
        <is>
          <t>Test commande dans 3 juridictions</t>
        </is>
      </c>
      <c r="E10" s="20" t="inlineStr">
        <is>
          <t>🔴</t>
        </is>
      </c>
      <c r="F10" s="21" t="inlineStr">
        <is>
          <t>🤖</t>
        </is>
      </c>
      <c r="G10" s="22" t="inlineStr"/>
      <c r="H10" s="19" t="inlineStr">
        <is>
          <t>⚠️ Validation comptable obligatoire</t>
        </is>
      </c>
      <c r="I10" s="23" t="inlineStr">
        <is>
          <t>🔧 Stripe Tax (payant) · TaxJar · Lemon Squeezy (merchant of record)</t>
        </is>
      </c>
    </row>
    <row r="11" ht="70" customHeight="1">
      <c r="A11" s="19" t="inlineStr">
        <is>
          <t>8.7</t>
        </is>
      </c>
      <c r="B11" s="19" t="inlineStr">
        <is>
          <t>Le prix affiché correspond-il bien à ce que l'utilisateur paiera vraiment ?</t>
        </is>
      </c>
      <c r="C11" s="19" t="inlineStr">
        <is>
          <t>Affichage TTC / HT explicite sur la page pricing selon obligations locales</t>
        </is>
      </c>
      <c r="D11" s="19" t="inlineStr">
        <is>
          <t>Audit visuel page pricing</t>
        </is>
      </c>
      <c r="E11" s="20" t="inlineStr">
        <is>
          <t>🔴</t>
        </is>
      </c>
      <c r="F11" s="21" t="inlineStr">
        <is>
          <t>🔁</t>
        </is>
      </c>
      <c r="G11" s="22" t="inlineStr"/>
      <c r="H11" s="19" t="inlineStr">
        <is>
          <t>⚠️ Législation française : TTC obligatoire B2C</t>
        </is>
      </c>
      <c r="I11" s="23" t="inlineStr">
        <is>
          <t>🔧 Audit visuel + revue code pricing</t>
        </is>
      </c>
    </row>
    <row r="12" ht="70" customHeight="1">
      <c r="A12" s="19" t="inlineStr">
        <is>
          <t>8.8</t>
        </is>
      </c>
      <c r="B12" s="19" t="inlineStr">
        <is>
          <t>Vérifions-nous l'identité avant de verser de l'argent à un vendeur ?</t>
        </is>
      </c>
      <c r="C12" s="19" t="inlineStr">
        <is>
          <t>Marketplace / payouts : KYC validé avant tout versement, AML conforme</t>
        </is>
      </c>
      <c r="D12" s="19" t="inlineStr">
        <is>
          <t>Payout impossible si KYC pending</t>
        </is>
      </c>
      <c r="E12" s="24" t="inlineStr">
        <is>
          <t>🟡</t>
        </is>
      </c>
      <c r="F12" s="21" t="inlineStr">
        <is>
          <t>🔁</t>
        </is>
      </c>
      <c r="G12" s="22" t="inlineStr"/>
      <c r="H12" s="19" t="inlineStr"/>
      <c r="I12" s="23" t="inlineStr">
        <is>
          <t>🔧 Stripe Connect Express (inclus) · Onfido (payant)
🤖 Claude : audit du flow de payout pour vérifier le KYC gate</t>
        </is>
      </c>
    </row>
    <row r="13" ht="70" customHeight="1">
      <c r="A13" s="19" t="inlineStr">
        <is>
          <t>8.9</t>
        </is>
      </c>
      <c r="B13" s="19" t="inlineStr">
        <is>
          <t>L'utilisateur reçoit-il une vraie facture PDF pour sa comptabilité ?</t>
        </is>
      </c>
      <c r="C13" s="19" t="inlineStr">
        <is>
          <t>Facturation automatique (PDF) + archivage selon obligations comptables</t>
        </is>
      </c>
      <c r="D13" s="19" t="inlineStr">
        <is>
          <t>Facture envoyée + accessible dans le compte</t>
        </is>
      </c>
      <c r="E13" s="20" t="inlineStr">
        <is>
          <t>🔴</t>
        </is>
      </c>
      <c r="F13" s="21" t="inlineStr">
        <is>
          <t>🤖</t>
        </is>
      </c>
      <c r="G13" s="22" t="inlineStr"/>
      <c r="H13" s="19" t="inlineStr">
        <is>
          <t>⚠️ Archivage 10 ans en France</t>
        </is>
      </c>
      <c r="I13" s="23" t="inlineStr">
        <is>
          <t>🔧 Stripe Invoicing (inclus) · Sellsy / Pennylane (payant)</t>
        </is>
      </c>
    </row>
    <row r="14" ht="70" customHeight="1">
      <c r="A14" s="19" t="inlineStr">
        <is>
          <t>8.10</t>
        </is>
      </c>
      <c r="B14" s="19" t="inlineStr">
        <is>
          <t>Sait-on en un coup d'œil comment va le business ?</t>
        </is>
      </c>
      <c r="C14" s="19" t="inlineStr">
        <is>
          <t>Dashboard MRR / churn / LTV / cohortes pour le founder</t>
        </is>
      </c>
      <c r="D14" s="19" t="inlineStr">
        <is>
          <t>Dashboard analytics produit existe ?</t>
        </is>
      </c>
      <c r="E14" s="25" t="inlineStr">
        <is>
          <t>🟢</t>
        </is>
      </c>
      <c r="F14" s="21" t="inlineStr">
        <is>
          <t>🔁</t>
        </is>
      </c>
      <c r="G14" s="22" t="inlineStr"/>
      <c r="H14" s="19" t="inlineStr"/>
      <c r="I14" s="23" t="inlineStr">
        <is>
          <t>🔧 ChartMogul (payant) · ProfitWell / Paddle (freemium) · dashboard custom
🤖 Claude : aide à la requête SQL pour MRR / cohortes</t>
        </is>
      </c>
    </row>
    <row r="15" ht="70" customHeight="1">
      <c r="A15" s="19" t="inlineStr">
        <is>
          <t>8.11</t>
        </is>
      </c>
      <c r="B15" s="19" t="inlineStr">
        <is>
          <t>L'utilisateur sait-il quand son essai se termine et ce qui se passera ?</t>
        </is>
      </c>
      <c r="C15" s="19" t="inlineStr">
        <is>
          <t>Gestion des essais (trial) : conversion automatique ou manuelle annoncée</t>
        </is>
      </c>
      <c r="D15" s="19" t="inlineStr">
        <is>
          <t>Tester fin de trial → comportement et notif</t>
        </is>
      </c>
      <c r="E15" s="24" t="inlineStr">
        <is>
          <t>🟡</t>
        </is>
      </c>
      <c r="F15" s="21" t="inlineStr">
        <is>
          <t>🔁</t>
        </is>
      </c>
      <c r="G15" s="22" t="inlineStr"/>
      <c r="H15" s="19" t="inlineStr"/>
      <c r="I15" s="23" t="inlineStr">
        <is>
          <t>🔧 Stripe test mode · Playwright</t>
        </is>
      </c>
    </row>
    <row r="16" ht="70" customHeight="1">
      <c r="A16" s="19" t="inlineStr">
        <is>
          <t>8.12</t>
        </is>
      </c>
      <c r="B16" s="19" t="inlineStr">
        <is>
          <t>Si un utilisateur change de plan en milieu de mois, le calcul est-il transparent ?</t>
        </is>
      </c>
      <c r="C16" s="19" t="inlineStr">
        <is>
          <t>Politique de proration claire en cas d'upgrade / downgrade en milieu de cycle</t>
        </is>
      </c>
      <c r="D16" s="19" t="inlineStr">
        <is>
          <t>Tester upgrade Pro → Business → calcul cohérent</t>
        </is>
      </c>
      <c r="E16" s="24" t="inlineStr">
        <is>
          <t>🟡</t>
        </is>
      </c>
      <c r="F16" s="21" t="inlineStr">
        <is>
          <t>🔁</t>
        </is>
      </c>
      <c r="G16" s="22" t="inlineStr"/>
      <c r="H16" s="19" t="inlineStr"/>
      <c r="I16" s="23" t="inlineStr">
        <is>
          <t>🔧 Stripe proration test mode</t>
        </is>
      </c>
    </row>
  </sheetData>
  <mergeCells count="2">
    <mergeCell ref="A1:I1"/>
    <mergeCell ref="A2:I2"/>
  </mergeCells>
  <conditionalFormatting sqref="G5:G16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9. Observabilité &amp; Ops</t>
        </is>
      </c>
    </row>
    <row r="2">
      <c r="A2" s="2" t="inlineStr">
        <is>
          <t>Logs structurés, alertes, uptime, runbook, rollback, métriques business.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9.1</t>
        </is>
      </c>
      <c r="B5" s="19" t="inlineStr">
        <is>
          <t>Quand un bug arrive en prod, peut-on tracer ce qui s'est passé en quelques minutes ?</t>
        </is>
      </c>
      <c r="C5" s="19" t="inlineStr">
        <is>
          <t>Logs structurés (JSON) avec severity et requestId/traceId</t>
        </is>
      </c>
      <c r="D5" s="19" t="inlineStr">
        <is>
          <t>Logs prod exploitables par filtre ?</t>
        </is>
      </c>
      <c r="E5" s="24" t="inlineStr">
        <is>
          <t>🟡</t>
        </is>
      </c>
      <c r="F5" s="21" t="inlineStr">
        <is>
          <t>🔁</t>
        </is>
      </c>
      <c r="G5" s="22" t="inlineStr"/>
      <c r="H5" s="19" t="inlineStr"/>
      <c r="I5" s="23" t="inlineStr">
        <is>
          <t>🔧 Cloud Logging (inclus) · Datadog (payant) · Pino/Winston (gratuit)
🤖 Claude : refactor de console.log vers logger structuré</t>
        </is>
      </c>
    </row>
    <row r="6" ht="70" customHeight="1">
      <c r="A6" s="19" t="inlineStr">
        <is>
          <t>9.2</t>
        </is>
      </c>
      <c r="B6" s="19" t="inlineStr">
        <is>
          <t>Nos logs contiennent-ils des données personnelles à risque ?</t>
        </is>
      </c>
      <c r="C6" s="19" t="inlineStr">
        <is>
          <t>Aucune PII dans les logs (email, mot de passe, CB, token)</t>
        </is>
      </c>
      <c r="D6" s="19" t="inlineStr">
        <is>
          <t>grep sur les logs des 24h passées</t>
        </is>
      </c>
      <c r="E6" s="20" t="inlineStr">
        <is>
          <t>🔴</t>
        </is>
      </c>
      <c r="F6" s="21" t="inlineStr">
        <is>
          <t>🤖</t>
        </is>
      </c>
      <c r="G6" s="22" t="inlineStr"/>
      <c r="H6" s="19" t="inlineStr"/>
      <c r="I6" s="23" t="inlineStr">
        <is>
          <t>🔧 grep avec patterns PII · Datadog Sensitive Data Scanner (payant)
🤖 Claude : audit des points de logging dans le code pour détecter les leaks PII</t>
        </is>
      </c>
    </row>
    <row r="7" ht="70" customHeight="1">
      <c r="A7" s="19" t="inlineStr">
        <is>
          <t>9.3</t>
        </is>
      </c>
      <c r="B7" s="19" t="inlineStr">
        <is>
          <t>Sommes-nous prévenus avant les utilisateurs quand quelque chose plante ?</t>
        </is>
      </c>
      <c r="C7" s="19" t="inlineStr">
        <is>
          <t>Alertes automatiques sur erreurs 5xx &gt; seuil</t>
        </is>
      </c>
      <c r="D7" s="19" t="inlineStr">
        <is>
          <t>Alerte configurée et testée</t>
        </is>
      </c>
      <c r="E7" s="20" t="inlineStr">
        <is>
          <t>🔴</t>
        </is>
      </c>
      <c r="F7" s="21" t="inlineStr">
        <is>
          <t>🤖</t>
        </is>
      </c>
      <c r="G7" s="22" t="inlineStr"/>
      <c r="H7" s="19" t="inlineStr"/>
      <c r="I7" s="23" t="inlineStr">
        <is>
          <t>🔧 Sentry (freemium) · Cloud Monitoring · Datadog (payant)</t>
        </is>
      </c>
    </row>
    <row r="8" ht="70" customHeight="1">
      <c r="A8" s="19" t="inlineStr">
        <is>
          <t>9.4</t>
        </is>
      </c>
      <c r="B8" s="19" t="inlineStr">
        <is>
          <t>Si nos coûts cloud explosent, on est prévenus avant la facture ?</t>
        </is>
      </c>
      <c r="C8" s="19" t="inlineStr">
        <is>
          <t>Alerte budget (cloud, paiement, IA) en cas de dépassement</t>
        </is>
      </c>
      <c r="D8" s="19" t="inlineStr">
        <is>
          <t>Configuration vérifiée</t>
        </is>
      </c>
      <c r="E8" s="24" t="inlineStr">
        <is>
          <t>🟡</t>
        </is>
      </c>
      <c r="F8" s="21" t="inlineStr">
        <is>
          <t>🤖</t>
        </is>
      </c>
      <c r="G8" s="22" t="inlineStr"/>
      <c r="H8" s="19" t="inlineStr"/>
      <c r="I8" s="23" t="inlineStr">
        <is>
          <t>🔧 GCP / AWS / Azure Billing Alerts (gratuit)</t>
        </is>
      </c>
    </row>
    <row r="9" ht="70" customHeight="1">
      <c r="A9" s="19" t="inlineStr">
        <is>
          <t>9.5</t>
        </is>
      </c>
      <c r="B9" s="19" t="inlineStr">
        <is>
          <t>Si tout notre cloud tombe, sommes-nous quand même prévenus depuis l'extérieur ?</t>
        </is>
      </c>
      <c r="C9" s="19" t="inlineStr">
        <is>
          <t>Uptime monitoring externe (indépendant du cloud du SaaS)</t>
        </is>
      </c>
      <c r="D9" s="19" t="inlineStr">
        <is>
          <t>Couper le service → alerte arrive &lt; 5 min</t>
        </is>
      </c>
      <c r="E9" s="24" t="inlineStr">
        <is>
          <t>🟡</t>
        </is>
      </c>
      <c r="F9" s="21" t="inlineStr">
        <is>
          <t>🤖</t>
        </is>
      </c>
      <c r="G9" s="22" t="inlineStr"/>
      <c r="H9" s="19" t="inlineStr"/>
      <c r="I9" s="23" t="inlineStr">
        <is>
          <t>🔧 UptimeRobot (freemium) · BetterStack (freemium) · Pingdom (payant)</t>
        </is>
      </c>
    </row>
    <row r="10" ht="70" customHeight="1">
      <c r="A10" s="19" t="inlineStr">
        <is>
          <t>9.6</t>
        </is>
      </c>
      <c r="B10" s="19" t="inlineStr">
        <is>
          <t>En cas d'incident grave à 3h du matin, sait-on quoi faire ?</t>
        </is>
      </c>
      <c r="C10" s="19" t="inlineStr">
        <is>
          <t>Playbook incident documenté (qui appeler, comment rollback, communication client)</t>
        </is>
      </c>
      <c r="D10" s="19" t="inlineStr">
        <is>
          <t>Document RUNBOOK.md ou équivalent</t>
        </is>
      </c>
      <c r="E10" s="24" t="inlineStr">
        <is>
          <t>🟡</t>
        </is>
      </c>
      <c r="F10" s="21" t="inlineStr">
        <is>
          <t>👤</t>
        </is>
      </c>
      <c r="G10" s="22" t="inlineStr"/>
      <c r="H10" s="19" t="inlineStr">
        <is>
          <t>⚠️ Validation par l'équipe astreinte</t>
        </is>
      </c>
      <c r="I10" s="23" t="inlineStr">
        <is>
          <t>🔧 Notion / GitHub wiki
🤖 Claude : rédaction du runbook depuis une description de l'archi</t>
        </is>
      </c>
    </row>
    <row r="11" ht="70" customHeight="1">
      <c r="A11" s="19" t="inlineStr">
        <is>
          <t>9.7</t>
        </is>
      </c>
      <c r="B11" s="19" t="inlineStr">
        <is>
          <t>Nos clients peuvent-ils vérifier eux-mêmes si nos services tournent ?</t>
        </is>
      </c>
      <c r="C11" s="19" t="inlineStr">
        <is>
          <t>Status page publique pour les incidents</t>
        </is>
      </c>
      <c r="D11" s="19" t="inlineStr">
        <is>
          <t>URL accessible publiquement</t>
        </is>
      </c>
      <c r="E11" s="25" t="inlineStr">
        <is>
          <t>🟢</t>
        </is>
      </c>
      <c r="F11" s="21" t="inlineStr">
        <is>
          <t>🤖</t>
        </is>
      </c>
      <c r="G11" s="22" t="inlineStr"/>
      <c r="H11" s="19" t="inlineStr"/>
      <c r="I11" s="23" t="inlineStr">
        <is>
          <t>🔧 Instatus (freemium) · BetterStack (freemium) · Statuspage Atlassian (payant)</t>
        </is>
      </c>
    </row>
    <row r="12" ht="70" customHeight="1">
      <c r="A12" s="19" t="inlineStr">
        <is>
          <t>9.8</t>
        </is>
      </c>
      <c r="B12" s="19" t="inlineStr">
        <is>
          <t>Connaissons-nous les temps de réponse réels de nos endpoints critiques ?</t>
        </is>
      </c>
      <c r="C12" s="19" t="inlineStr">
        <is>
          <t>Métrique de latence p50/p95/p99 sur les endpoints critiques</t>
        </is>
      </c>
      <c r="D12" s="19" t="inlineStr">
        <is>
          <t>Tracing distribué ou métriques applicatives</t>
        </is>
      </c>
      <c r="E12" s="25" t="inlineStr">
        <is>
          <t>🟢</t>
        </is>
      </c>
      <c r="F12" s="21" t="inlineStr">
        <is>
          <t>🤖</t>
        </is>
      </c>
      <c r="G12" s="22" t="inlineStr"/>
      <c r="H12" s="19" t="inlineStr"/>
      <c r="I12" s="23" t="inlineStr">
        <is>
          <t>🔧 OpenTelemetry (gratuit) · Datadog APM (payant)</t>
        </is>
      </c>
    </row>
    <row r="13" ht="70" customHeight="1">
      <c r="A13" s="19" t="inlineStr">
        <is>
          <t>9.9</t>
        </is>
      </c>
      <c r="B13" s="19" t="inlineStr">
        <is>
          <t>Si une mise en prod plante, peut-on revenir à la version précédente très vite ?</t>
        </is>
      </c>
      <c r="C13" s="19" t="inlineStr">
        <is>
          <t>Capacité à rollback en &lt; 5 min sur production</t>
        </is>
      </c>
      <c r="D13" s="19" t="inlineStr">
        <is>
          <t>Versions précédentes accessibles + process documenté</t>
        </is>
      </c>
      <c r="E13" s="20" t="inlineStr">
        <is>
          <t>🔴</t>
        </is>
      </c>
      <c r="F13" s="21" t="inlineStr">
        <is>
          <t>🤖</t>
        </is>
      </c>
      <c r="G13" s="22" t="inlineStr"/>
      <c r="H13" s="19" t="inlineStr"/>
      <c r="I13" s="23" t="inlineStr">
        <is>
          <t>🔧 Cloud Run revisions · k8s rollback · Vercel rollback</t>
        </is>
      </c>
    </row>
    <row r="14" ht="70" customHeight="1">
      <c r="A14" s="19" t="inlineStr">
        <is>
          <t>9.10</t>
        </is>
      </c>
      <c r="B14" s="19" t="inlineStr">
        <is>
          <t>Les utilisateurs voient-ils ce qu'on a livré récemment ?</t>
        </is>
      </c>
      <c r="C14" s="19" t="inlineStr">
        <is>
          <t>Changelog visible utilisateurs (release notes)</t>
        </is>
      </c>
      <c r="D14" s="19" t="inlineStr">
        <is>
          <t>URL /changelog ou widget 'Quoi de neuf'</t>
        </is>
      </c>
      <c r="E14" s="25" t="inlineStr">
        <is>
          <t>🟢</t>
        </is>
      </c>
      <c r="F14" s="21" t="inlineStr">
        <is>
          <t>🤖</t>
        </is>
      </c>
      <c r="G14" s="22" t="inlineStr"/>
      <c r="H14" s="19" t="inlineStr"/>
      <c r="I14" s="23" t="inlineStr">
        <is>
          <t>🔧 Conventional Commits + semantic-release (gratuit) · Beamer / Headway (payant)
🤖 Claude : reformulation du changelog technique en notes business</t>
        </is>
      </c>
    </row>
    <row r="15" ht="70" customHeight="1">
      <c r="A15" s="19" t="inlineStr">
        <is>
          <t>9.11</t>
        </is>
      </c>
      <c r="B15" s="19" t="inlineStr">
        <is>
          <t>Voit-on les erreurs JavaScript qui arrivent sur le navigateur des utilisateurs ?</t>
        </is>
      </c>
      <c r="C15" s="19" t="inlineStr">
        <is>
          <t>Process de gestion des erreurs côté client (Sentry / Rollbar)</t>
        </is>
      </c>
      <c r="D15" s="19" t="inlineStr">
        <is>
          <t>Tableau de bord des erreurs JS en prod</t>
        </is>
      </c>
      <c r="E15" s="24" t="inlineStr">
        <is>
          <t>🟡</t>
        </is>
      </c>
      <c r="F15" s="21" t="inlineStr">
        <is>
          <t>🤖</t>
        </is>
      </c>
      <c r="G15" s="22" t="inlineStr"/>
      <c r="H15" s="19" t="inlineStr"/>
      <c r="I15" s="23" t="inlineStr">
        <is>
          <t>🔧 Sentry (freemium) · Rollbar (freemium) · Bugsnag (freemium)</t>
        </is>
      </c>
    </row>
    <row r="16" ht="70" customHeight="1">
      <c r="A16" s="19" t="inlineStr">
        <is>
          <t>9.12</t>
        </is>
      </c>
      <c r="B16" s="19" t="inlineStr">
        <is>
          <t>Sait-on combien d'inscriptions et de conversions on a fait cette semaine ?</t>
        </is>
      </c>
      <c r="C16" s="19" t="inlineStr">
        <is>
          <t>Métriques business clés (signup, conversion, activation) instrumentées</t>
        </is>
      </c>
      <c r="D16" s="19" t="inlineStr">
        <is>
          <t>Dashboard avec ces 3 chiffres au moins</t>
        </is>
      </c>
      <c r="E16" s="24" t="inlineStr">
        <is>
          <t>🟡</t>
        </is>
      </c>
      <c r="F16" s="21" t="inlineStr">
        <is>
          <t>🤖</t>
        </is>
      </c>
      <c r="G16" s="22" t="inlineStr"/>
      <c r="H16" s="19" t="inlineStr"/>
      <c r="I16" s="23" t="inlineStr">
        <is>
          <t>🔧 PostHog (freemium) · Mixpanel (freemium) · Amplitude (freemium)</t>
        </is>
      </c>
    </row>
  </sheetData>
  <mergeCells count="2">
    <mergeCell ref="A1:I1"/>
    <mergeCell ref="A2:I2"/>
  </mergeCells>
  <conditionalFormatting sqref="G5:G16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10. Légal &amp; Conformité</t>
        </is>
      </c>
    </row>
    <row r="2">
      <c r="A2" s="2" t="inlineStr">
        <is>
          <t>CGU/CGV, Privacy, mentions, médiation, cookies, rétractation, hébergeur, accessibilité.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10.1</t>
        </is>
      </c>
      <c r="B5" s="19" t="inlineStr">
        <is>
          <t>L'acceptation des CGU est-elle explicite et tracée ?</t>
        </is>
      </c>
      <c r="C5" s="19" t="inlineStr">
        <is>
          <t>Conditions d'utilisation acceptées explicitement à l'inscription (checkbox non pré-cochée)</t>
        </is>
      </c>
      <c r="D5" s="19" t="inlineStr">
        <is>
          <t>Tester signup → blocage si non cochée</t>
        </is>
      </c>
      <c r="E5" s="20" t="inlineStr">
        <is>
          <t>🔴</t>
        </is>
      </c>
      <c r="F5" s="21" t="inlineStr">
        <is>
          <t>🔁</t>
        </is>
      </c>
      <c r="G5" s="22" t="inlineStr"/>
      <c r="H5" s="19" t="inlineStr"/>
      <c r="I5" s="23" t="inlineStr">
        <is>
          <t>🔧 Playwright signup test (gratuit)</t>
        </is>
      </c>
    </row>
    <row r="6" ht="70" customHeight="1">
      <c r="A6" s="19" t="inlineStr">
        <is>
          <t>10.2</t>
        </is>
      </c>
      <c r="B6" s="19" t="inlineStr">
        <is>
          <t>L'utilisateur peut-il consulter les CGV avant de payer ?</t>
        </is>
      </c>
      <c r="C6" s="19" t="inlineStr">
        <is>
          <t>Conditions de vente disponibles avant le paiement (lien visible)</t>
        </is>
      </c>
      <c r="D6" s="19" t="inlineStr">
        <is>
          <t>Audit du flow checkout</t>
        </is>
      </c>
      <c r="E6" s="20" t="inlineStr">
        <is>
          <t>🔴</t>
        </is>
      </c>
      <c r="F6" s="21" t="inlineStr">
        <is>
          <t>🔁</t>
        </is>
      </c>
      <c r="G6" s="22" t="inlineStr"/>
      <c r="H6" s="19" t="inlineStr"/>
      <c r="I6" s="23" t="inlineStr">
        <is>
          <t>🔧 Audit visuel checkout</t>
        </is>
      </c>
    </row>
    <row r="7" ht="70" customHeight="1">
      <c r="A7" s="19" t="inlineStr">
        <is>
          <t>10.3</t>
        </is>
      </c>
      <c r="B7" s="19" t="inlineStr">
        <is>
          <t>Le lien vers la politique de confidentialité est-il visible partout ?</t>
        </is>
      </c>
      <c r="C7" s="19" t="inlineStr">
        <is>
          <t>Politique de confidentialité accessible depuis chaque page</t>
        </is>
      </c>
      <c r="D7" s="19" t="inlineStr">
        <is>
          <t>Lien dans le footer présent partout</t>
        </is>
      </c>
      <c r="E7" s="20" t="inlineStr">
        <is>
          <t>🔴</t>
        </is>
      </c>
      <c r="F7" s="21" t="inlineStr">
        <is>
          <t>🤖</t>
        </is>
      </c>
      <c r="G7" s="22" t="inlineStr"/>
      <c r="H7" s="19" t="inlineStr"/>
      <c r="I7" s="23" t="inlineStr">
        <is>
          <t>🔧 grep sur le footer + audit pages</t>
        </is>
      </c>
    </row>
    <row r="8" ht="70" customHeight="1">
      <c r="A8" s="19" t="inlineStr">
        <is>
          <t>10.4</t>
        </is>
      </c>
      <c r="B8" s="19" t="inlineStr">
        <is>
          <t>Nos mentions légales sont-elles complètes et à jour ?</t>
        </is>
      </c>
      <c r="C8" s="19" t="inlineStr">
        <is>
          <t>Mentions / informations légales obligatoires selon juridiction</t>
        </is>
      </c>
      <c r="D8" s="19" t="inlineStr">
        <is>
          <t>Audit mentions légales</t>
        </is>
      </c>
      <c r="E8" s="20" t="inlineStr">
        <is>
          <t>🔴</t>
        </is>
      </c>
      <c r="F8" s="21" t="inlineStr">
        <is>
          <t>👤</t>
        </is>
      </c>
      <c r="G8" s="22" t="inlineStr"/>
      <c r="H8" s="19" t="inlineStr">
        <is>
          <t>⚠️ Validation juridique obligatoire</t>
        </is>
      </c>
      <c r="I8" s="23" t="inlineStr">
        <is>
          <t>🔧 Modèle CNIL · validation juridique
🤖 Claude : génération d'une première version à partir des infos société</t>
        </is>
      </c>
    </row>
    <row r="9" ht="70" customHeight="1">
      <c r="A9" s="19" t="inlineStr">
        <is>
          <t>10.5</t>
        </is>
      </c>
      <c r="B9" s="19" t="inlineStr">
        <is>
          <t>Avons-nous désigné un médiateur de la consommation (loi française B2C) ?</t>
        </is>
      </c>
      <c r="C9" s="19" t="inlineStr">
        <is>
          <t>Médiateur / mécanisme de résolution des litiges si juridiction l'impose B2C</t>
        </is>
      </c>
      <c r="D9" s="19" t="inlineStr">
        <is>
          <t>Mentions légales — coordonnées + URL</t>
        </is>
      </c>
      <c r="E9" s="24" t="inlineStr">
        <is>
          <t>🟡</t>
        </is>
      </c>
      <c r="F9" s="21" t="inlineStr">
        <is>
          <t>👤</t>
        </is>
      </c>
      <c r="G9" s="22" t="inlineStr"/>
      <c r="H9" s="19" t="inlineStr">
        <is>
          <t>⚠️ Obligation française L. 612-1 du Code de la consommation</t>
        </is>
      </c>
      <c r="I9" s="23" t="inlineStr">
        <is>
          <t>🔧 —</t>
        </is>
      </c>
    </row>
    <row r="10" ht="70" customHeight="1">
      <c r="A10" s="19" t="inlineStr">
        <is>
          <t>10.6</t>
        </is>
      </c>
      <c r="B10" s="19" t="inlineStr">
        <is>
          <t>L'utilisateur connaît-il son droit de rétractation 14 jours (UE B2C) ?</t>
        </is>
      </c>
      <c r="C10" s="19" t="inlineStr">
        <is>
          <t>Droit de rétractation / cooling-off documenté si requis</t>
        </is>
      </c>
      <c r="D10" s="19" t="inlineStr">
        <is>
          <t>CGV — clause présente ?</t>
        </is>
      </c>
      <c r="E10" s="24" t="inlineStr">
        <is>
          <t>🟡</t>
        </is>
      </c>
      <c r="F10" s="21" t="inlineStr">
        <is>
          <t>👤</t>
        </is>
      </c>
      <c r="G10" s="22" t="inlineStr"/>
      <c r="H10" s="19" t="inlineStr"/>
      <c r="I10" s="23" t="inlineStr">
        <is>
          <t>🔧 —
🤖 Claude : rédaction de la clause selon juridiction</t>
        </is>
      </c>
    </row>
    <row r="11" ht="70" customHeight="1">
      <c r="A11" s="19" t="inlineStr">
        <is>
          <t>10.7</t>
        </is>
      </c>
      <c r="B11" s="19" t="inlineStr">
        <is>
          <t>Avons-nous un mécanisme de signalement de contenu illégal ?</t>
        </is>
      </c>
      <c r="C11" s="19" t="inlineStr">
        <is>
          <t>Hébergement de contenu user : régime de responsabilité + procédure de notification/retrait</t>
        </is>
      </c>
      <c r="D11" s="19" t="inlineStr">
        <is>
          <t>Endpoint de signalement</t>
        </is>
      </c>
      <c r="E11" s="24" t="inlineStr">
        <is>
          <t>🟡</t>
        </is>
      </c>
      <c r="F11" s="21" t="inlineStr">
        <is>
          <t>🔁</t>
        </is>
      </c>
      <c r="G11" s="22" t="inlineStr"/>
      <c r="H11" s="19" t="inlineStr">
        <is>
          <t>⚠️ LCEN art. 6 + DSA art. 16</t>
        </is>
      </c>
      <c r="I11" s="23" t="inlineStr">
        <is>
          <t>🔧 Audit endpoint /report</t>
        </is>
      </c>
    </row>
    <row r="12" ht="70" customHeight="1">
      <c r="A12" s="19" t="inlineStr">
        <is>
          <t>10.8</t>
        </is>
      </c>
      <c r="B12" s="19" t="inlineStr">
        <is>
          <t>L'utilisateur peut-il choisir cookie par cookie ce qu'il accepte ?</t>
        </is>
      </c>
      <c r="C12" s="19" t="inlineStr">
        <is>
          <t>Cookies 'non essentiels' listés avec finalité et refus catégoriel</t>
        </is>
      </c>
      <c r="D12" s="19" t="inlineStr">
        <is>
          <t>Bannière de cookies — détail par catégorie</t>
        </is>
      </c>
      <c r="E12" s="20" t="inlineStr">
        <is>
          <t>🔴</t>
        </is>
      </c>
      <c r="F12" s="21" t="inlineStr">
        <is>
          <t>🤖</t>
        </is>
      </c>
      <c r="G12" s="22" t="inlineStr"/>
      <c r="H12" s="19" t="inlineStr"/>
      <c r="I12" s="23" t="inlineStr">
        <is>
          <t>🔧 Axeptio · Cookiebot · Klaro</t>
        </is>
      </c>
    </row>
    <row r="13" ht="70" customHeight="1">
      <c r="A13" s="19" t="inlineStr">
        <is>
          <t>10.9</t>
        </is>
      </c>
      <c r="B13" s="19" t="inlineStr">
        <is>
          <t>Si un utilisateur demande l'accès à ses données, lui répond-on en temps légal ?</t>
        </is>
      </c>
      <c r="C13" s="19" t="inlineStr">
        <is>
          <t>Email de contact officiel répondant en délai imposé (UE RGPD : 30 jours)</t>
        </is>
      </c>
      <c r="D13" s="19" t="inlineStr">
        <is>
          <t>Test : envoyer demande sur email officiel</t>
        </is>
      </c>
      <c r="E13" s="24" t="inlineStr">
        <is>
          <t>🟡</t>
        </is>
      </c>
      <c r="F13" s="21" t="inlineStr">
        <is>
          <t>👤</t>
        </is>
      </c>
      <c r="G13" s="22" t="inlineStr"/>
      <c r="H13" s="19" t="inlineStr"/>
      <c r="I13" s="23" t="inlineStr">
        <is>
          <t>🔧 —</t>
        </is>
      </c>
    </row>
    <row r="14" ht="70" customHeight="1">
      <c r="A14" s="19" t="inlineStr">
        <is>
          <t>10.10</t>
        </is>
      </c>
      <c r="B14" s="19" t="inlineStr">
        <is>
          <t>Pouvons-nous prouver à quel moment chaque utilisateur a accepté nos CGU ?</t>
        </is>
      </c>
      <c r="C14" s="19" t="inlineStr">
        <is>
          <t>Stockage durable des CGU acceptées (timestamp + version) par utilisateur</t>
        </is>
      </c>
      <c r="D14" s="19" t="inlineStr">
        <is>
          <t>Champ acceptedTermsAt + version en DB</t>
        </is>
      </c>
      <c r="E14" s="24" t="inlineStr">
        <is>
          <t>🟡</t>
        </is>
      </c>
      <c r="F14" s="21" t="inlineStr">
        <is>
          <t>🔁</t>
        </is>
      </c>
      <c r="G14" s="22" t="inlineStr"/>
      <c r="H14" s="19" t="inlineStr"/>
      <c r="I14" s="23" t="inlineStr">
        <is>
          <t>🔧 Audit schema DB</t>
        </is>
      </c>
    </row>
    <row r="15" ht="70" customHeight="1">
      <c r="A15" s="19" t="inlineStr">
        <is>
          <t>10.11</t>
        </is>
      </c>
      <c r="B15" s="19" t="inlineStr">
        <is>
          <t>Si on suspend un compte, l'utilisateur peut-il faire appel ?</t>
        </is>
      </c>
      <c r="C15" s="19" t="inlineStr">
        <is>
          <t>Process d'appel / recours si suspension de compte ou retrait de contenu</t>
        </is>
      </c>
      <c r="D15" s="19" t="inlineStr">
        <is>
          <t>Endpoint d'appel ou email dédié</t>
        </is>
      </c>
      <c r="E15" s="24" t="inlineStr">
        <is>
          <t>🟡</t>
        </is>
      </c>
      <c r="F15" s="21" t="inlineStr">
        <is>
          <t>🔁</t>
        </is>
      </c>
      <c r="G15" s="22" t="inlineStr"/>
      <c r="H15" s="19" t="inlineStr">
        <is>
          <t>⚠️ DSA art. 20</t>
        </is>
      </c>
      <c r="I15" s="23" t="inlineStr">
        <is>
          <t>🔧 Audit endpoint /appeals</t>
        </is>
      </c>
    </row>
    <row r="16" ht="70" customHeight="1">
      <c r="A16" s="19" t="inlineStr">
        <is>
          <t>10.12</t>
        </is>
      </c>
      <c r="B16" s="19" t="inlineStr">
        <is>
          <t>Notre site est-il accessible aux personnes en situation de handicap ?</t>
        </is>
      </c>
      <c r="C16" s="19" t="inlineStr">
        <is>
          <t>Accessibilité web (WCAG AA si service public en UE ; ADA US)</t>
        </is>
      </c>
      <c r="D16" s="19" t="inlineStr">
        <is>
          <t>Lighthouse a11y audit ≥ 90</t>
        </is>
      </c>
      <c r="E16" s="24" t="inlineStr">
        <is>
          <t>🟡</t>
        </is>
      </c>
      <c r="F16" s="21" t="inlineStr">
        <is>
          <t>🔁</t>
        </is>
      </c>
      <c r="G16" s="22" t="inlineStr"/>
      <c r="H16" s="19" t="inlineStr">
        <is>
          <t>⚠️ Tests avec utilisateurs en situation de handicap recommandés</t>
        </is>
      </c>
      <c r="I16" s="23" t="inlineStr">
        <is>
          <t>🔧 Lighthouse (gratuit) · axe DevTools (gratuit) · WAVE (gratuit)
🤖 Claude : audit du HTML/JSX pour identifier les problèmes WCAG non automatisables</t>
        </is>
      </c>
    </row>
    <row r="17" ht="70" customHeight="1">
      <c r="A17" s="19" t="inlineStr">
        <is>
          <t>10.13</t>
        </is>
      </c>
      <c r="B17" s="19" t="inlineStr">
        <is>
          <t>Mentionnons-nous explicitement l'usage d'IA dans nos documents légaux ?</t>
        </is>
      </c>
      <c r="C17" s="19" t="inlineStr">
        <is>
          <t>Mention du recours aux outils IA dans la politique de confidentialité et CGU</t>
        </is>
      </c>
      <c r="D17" s="19" t="inlineStr">
        <is>
          <t>Section dédiée présente</t>
        </is>
      </c>
      <c r="E17" s="20" t="inlineStr">
        <is>
          <t>🔴</t>
        </is>
      </c>
      <c r="F17" s="21" t="inlineStr">
        <is>
          <t>👤</t>
        </is>
      </c>
      <c r="G17" s="22" t="inlineStr"/>
      <c r="H17" s="19" t="inlineStr"/>
      <c r="I17" s="23" t="inlineStr">
        <is>
          <t>🔧 —
🤖 Claude : rédaction de la section IA des CGU/Privacy</t>
        </is>
      </c>
    </row>
  </sheetData>
  <mergeCells count="2">
    <mergeCell ref="A1:I1"/>
    <mergeCell ref="A2:I2"/>
  </mergeCells>
  <conditionalFormatting sqref="G5:G17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11. UX/UI — Qualité de design</t>
        </is>
      </c>
    </row>
    <row r="2">
      <c r="A2" s="2" t="inlineStr">
        <is>
          <t>Design system, palette, typo, spacing, états visuels, animations, branding, responsive.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11.1</t>
        </is>
      </c>
      <c r="B5" s="19" t="inlineStr">
        <is>
          <t>Avons-nous un système de design unifié ou chaque page est-elle différente ?</t>
        </is>
      </c>
      <c r="C5" s="19" t="inlineStr">
        <is>
          <t>Design system documenté (couleurs, typo, spacing, composants) avec règles d'usage</t>
        </is>
      </c>
      <c r="D5" s="19" t="inlineStr">
        <is>
          <t>Storybook / Figma library / tokens.css partagé</t>
        </is>
      </c>
      <c r="E5" s="24" t="inlineStr">
        <is>
          <t>🟡</t>
        </is>
      </c>
      <c r="F5" s="21" t="inlineStr">
        <is>
          <t>🔁</t>
        </is>
      </c>
      <c r="G5" s="22" t="inlineStr"/>
      <c r="H5" s="19" t="inlineStr"/>
      <c r="I5" s="23" t="inlineStr">
        <is>
          <t>🔧 Storybook (gratuit) · Figma (freemium)
🤖 Claude : audit de la cohérence des composants depuis le code</t>
        </is>
      </c>
    </row>
    <row r="6" ht="70" customHeight="1">
      <c r="A6" s="19" t="inlineStr">
        <is>
          <t>11.2</t>
        </is>
      </c>
      <c r="B6" s="19" t="inlineStr">
        <is>
          <t>Nos couleurs offrent-elles un contraste suffisant pour la lisibilité ?</t>
        </is>
      </c>
      <c r="C6" s="19" t="inlineStr">
        <is>
          <t>Palette de couleurs avec contraste WCAG AA validé sur tous les usages</t>
        </is>
      </c>
      <c r="D6" s="19" t="inlineStr">
        <is>
          <t>Audit avec contrast-checker sur les combinaisons utilisées</t>
        </is>
      </c>
      <c r="E6" s="24" t="inlineStr">
        <is>
          <t>🟡</t>
        </is>
      </c>
      <c r="F6" s="21" t="inlineStr">
        <is>
          <t>🤖</t>
        </is>
      </c>
      <c r="G6" s="22" t="inlineStr"/>
      <c r="H6" s="19" t="inlineStr"/>
      <c r="I6" s="23" t="inlineStr">
        <is>
          <t>🔧 WebAIM Contrast Checker · Lighthouse (gratuit)</t>
        </is>
      </c>
    </row>
    <row r="7" ht="70" customHeight="1">
      <c r="A7" s="19" t="inlineStr">
        <is>
          <t>11.3</t>
        </is>
      </c>
      <c r="B7" s="19" t="inlineStr">
        <is>
          <t>Nos polices sont-elles hébergées chez nous ou dépendent-elles d'un tiers ?</t>
        </is>
      </c>
      <c r="C7" s="19" t="inlineStr">
        <is>
          <t>Hiérarchie typo claire (max 3-4 niveaux), polices self-hosted (pas SPOF CDN tiers)</t>
        </is>
      </c>
      <c r="D7" s="19" t="inlineStr">
        <is>
          <t>Inspecter font-family + Network</t>
        </is>
      </c>
      <c r="E7" s="24" t="inlineStr">
        <is>
          <t>🟡</t>
        </is>
      </c>
      <c r="F7" s="21" t="inlineStr">
        <is>
          <t>🤖</t>
        </is>
      </c>
      <c r="G7" s="22" t="inlineStr"/>
      <c r="H7" s="19" t="inlineStr"/>
      <c r="I7" s="23" t="inlineStr">
        <is>
          <t>🔧 DevTools Network · Fontsource (self-host gratuit)</t>
        </is>
      </c>
    </row>
    <row r="8" ht="70" customHeight="1">
      <c r="A8" s="19" t="inlineStr">
        <is>
          <t>11.4</t>
        </is>
      </c>
      <c r="B8" s="19" t="inlineStr">
        <is>
          <t>Nos écrans donnent-ils une impression de rigueur et d'organisation ?</t>
        </is>
      </c>
      <c r="C8" s="19" t="inlineStr">
        <is>
          <t>Spacing / grid system cohérent (échelle 4/8/16/24/32)</t>
        </is>
      </c>
      <c r="D8" s="19" t="inlineStr">
        <is>
          <t>Audit visuel — éléments alignés sur une grille ?</t>
        </is>
      </c>
      <c r="E8" s="25" t="inlineStr">
        <is>
          <t>🟢</t>
        </is>
      </c>
      <c r="F8" s="21" t="inlineStr">
        <is>
          <t>🔁</t>
        </is>
      </c>
      <c r="G8" s="22" t="inlineStr"/>
      <c r="H8" s="19" t="inlineStr"/>
      <c r="I8" s="23" t="inlineStr">
        <is>
          <t>🔧 Storybook · audit Figma
🤖 Claude : audit des classes Tailwind / CSS pour détecter les espacements ad-hoc</t>
        </is>
      </c>
    </row>
    <row r="9" ht="70" customHeight="1">
      <c r="A9" s="19" t="inlineStr">
        <is>
          <t>11.5</t>
        </is>
      </c>
      <c r="B9" s="19" t="inlineStr">
        <is>
          <t>Combien de boutons différents avons-nous ? (Idéal : 3-5 max)</t>
        </is>
      </c>
      <c r="C9" s="19" t="inlineStr">
        <is>
          <t>Composants UI réutilisables (boutons, inputs, modales) — pas N variations ad-hoc</t>
        </is>
      </c>
      <c r="D9" s="19" t="inlineStr">
        <is>
          <t>grep ou Storybook : combien de Button différents ?</t>
        </is>
      </c>
      <c r="E9" s="24" t="inlineStr">
        <is>
          <t>🟡</t>
        </is>
      </c>
      <c r="F9" s="21" t="inlineStr">
        <is>
          <t>🤖</t>
        </is>
      </c>
      <c r="G9" s="22" t="inlineStr"/>
      <c r="H9" s="19" t="inlineStr"/>
      <c r="I9" s="23" t="inlineStr">
        <is>
          <t>🔧 grep &lt;button + variants
🤖 Claude : recensement des variantes de composants et propositions de factorisation</t>
        </is>
      </c>
    </row>
    <row r="10" ht="70" customHeight="1">
      <c r="A10" s="19" t="inlineStr">
        <is>
          <t>11.6</t>
        </is>
      </c>
      <c r="B10" s="19" t="inlineStr">
        <is>
          <t>Tous nos boutons et champs ont-ils des états visuels pour chaque interaction ?</t>
        </is>
      </c>
      <c r="C10" s="19" t="inlineStr">
        <is>
          <t>États visuels couverts pour chaque composant interactif (default/hover/focus/active/disabled/loading/error)</t>
        </is>
      </c>
      <c r="D10" s="19" t="inlineStr">
        <is>
          <t>Interagir avec chaque composant via souris ET clavier</t>
        </is>
      </c>
      <c r="E10" s="24" t="inlineStr">
        <is>
          <t>🟡</t>
        </is>
      </c>
      <c r="F10" s="21" t="inlineStr">
        <is>
          <t>🔁</t>
        </is>
      </c>
      <c r="G10" s="22" t="inlineStr"/>
      <c r="H10" s="19" t="inlineStr"/>
      <c r="I10" s="23" t="inlineStr">
        <is>
          <t>🔧 Storybook (gratuit)
🤖 Claude : audit du code des composants pour vérifier les états</t>
        </is>
      </c>
    </row>
    <row r="11" ht="70" customHeight="1">
      <c r="A11" s="19" t="inlineStr">
        <is>
          <t>11.7</t>
        </is>
      </c>
      <c r="B11" s="19" t="inlineStr">
        <is>
          <t>Voit-on où le clavier est dans la page quand on navigue sans souris ?</t>
        </is>
      </c>
      <c r="C11" s="19" t="inlineStr">
        <is>
          <t>Focus rings visibles (accessibilité clavier) sans être intrusifs</t>
        </is>
      </c>
      <c r="D11" s="19" t="inlineStr">
        <is>
          <t>Tab à travers la page sur fond clair ET sombre</t>
        </is>
      </c>
      <c r="E11" s="24" t="inlineStr">
        <is>
          <t>🟡</t>
        </is>
      </c>
      <c r="F11" s="21" t="inlineStr">
        <is>
          <t>🔁</t>
        </is>
      </c>
      <c r="G11" s="22" t="inlineStr"/>
      <c r="H11" s="19" t="inlineStr"/>
      <c r="I11" s="23" t="inlineStr">
        <is>
          <t>🔧 axe DevTools · test clavier manuel</t>
        </is>
      </c>
    </row>
    <row r="12" ht="70" customHeight="1">
      <c r="A12" s="19" t="inlineStr">
        <is>
          <t>11.8</t>
        </is>
      </c>
      <c r="B12" s="19" t="inlineStr">
        <is>
          <t>Les boutons sur mobile sont-ils assez grands pour le pouce ?</t>
        </is>
      </c>
      <c r="C12" s="19" t="inlineStr">
        <is>
          <t>Touch targets ≥ 44×44 px sur mobile (reco Apple/Google)</t>
        </is>
      </c>
      <c r="D12" s="19" t="inlineStr">
        <is>
          <t>DevTools mobile + mesurer les zones tappables</t>
        </is>
      </c>
      <c r="E12" s="24" t="inlineStr">
        <is>
          <t>🟡</t>
        </is>
      </c>
      <c r="F12" s="21" t="inlineStr">
        <is>
          <t>🤖</t>
        </is>
      </c>
      <c r="G12" s="22" t="inlineStr"/>
      <c r="H12" s="19" t="inlineStr"/>
      <c r="I12" s="23" t="inlineStr">
        <is>
          <t>🔧 Lighthouse a11y · audit CSS</t>
        </is>
      </c>
    </row>
    <row r="13" ht="70" customHeight="1">
      <c r="A13" s="19" t="inlineStr">
        <is>
          <t>11.9</t>
        </is>
      </c>
      <c r="B13" s="19" t="inlineStr">
        <is>
          <t>Nos animations sont-elles désactivables pour les utilisateurs sensibles au mouvement ?</t>
        </is>
      </c>
      <c r="C13" s="19" t="inlineStr">
        <is>
          <t>Animations purposeful (≤ 300ms) + respect de prefers-reduced-motion</t>
        </is>
      </c>
      <c r="D13" s="19" t="inlineStr">
        <is>
          <t>Activer prefers-reduced-motion → animations stoppées ?</t>
        </is>
      </c>
      <c r="E13" s="25" t="inlineStr">
        <is>
          <t>🟢</t>
        </is>
      </c>
      <c r="F13" s="21" t="inlineStr">
        <is>
          <t>🤖</t>
        </is>
      </c>
      <c r="G13" s="22" t="inlineStr"/>
      <c r="H13" s="19" t="inlineStr"/>
      <c r="I13" s="23" t="inlineStr">
        <is>
          <t>🔧 DevTools rendering · audit CSS
🤖 Claude : grep des @media (prefers-reduced-motion)</t>
        </is>
      </c>
    </row>
    <row r="14" ht="70" customHeight="1">
      <c r="A14" s="19" t="inlineStr">
        <is>
          <t>11.10</t>
        </is>
      </c>
      <c r="B14" s="19" t="inlineStr">
        <is>
          <t>Quand une liste est vide, l'utilisateur sait-il quoi faire ?</t>
        </is>
      </c>
      <c r="C14" s="19" t="inlineStr">
        <is>
          <t>Empty states designés (pas un blanc) — chaque liste vide a un message + action</t>
        </is>
      </c>
      <c r="D14" s="19" t="inlineStr">
        <is>
          <t>Tester chaque liste/tableau à vide</t>
        </is>
      </c>
      <c r="E14" s="24" t="inlineStr">
        <is>
          <t>🟡</t>
        </is>
      </c>
      <c r="F14" s="21" t="inlineStr">
        <is>
          <t>🔁</t>
        </is>
      </c>
      <c r="G14" s="22" t="inlineStr"/>
      <c r="H14" s="19" t="inlineStr"/>
      <c r="I14" s="23" t="inlineStr">
        <is>
          <t>🔧 Audit visuel manuel · Storybook
🤖 Claude : audit des composants liste pour vérifier le rendu empty</t>
        </is>
      </c>
    </row>
    <row r="15" ht="70" customHeight="1">
      <c r="A15" s="19" t="inlineStr">
        <is>
          <t>11.11</t>
        </is>
      </c>
      <c r="B15" s="19" t="inlineStr">
        <is>
          <t>Quand quelque chose plante, l'utilisateur sait-il comment réagir ?</t>
        </is>
      </c>
      <c r="C15" s="19" t="inlineStr">
        <is>
          <t>Error states informatifs (qu'est-ce qui s'est passé, comment corriger)</t>
        </is>
      </c>
      <c r="D15" s="19" t="inlineStr">
        <is>
          <t>Provoquer chaque erreur — message actionable ?</t>
        </is>
      </c>
      <c r="E15" s="24" t="inlineStr">
        <is>
          <t>🟡</t>
        </is>
      </c>
      <c r="F15" s="21" t="inlineStr">
        <is>
          <t>🔁</t>
        </is>
      </c>
      <c r="G15" s="22" t="inlineStr"/>
      <c r="H15" s="19" t="inlineStr"/>
      <c r="I15" s="23" t="inlineStr">
        <is>
          <t>🔧 Playwright route mocking
🤖 Claude : audit des messages d'erreur pour clarté et actionnabilité</t>
        </is>
      </c>
    </row>
    <row r="16" ht="70" customHeight="1">
      <c r="A16" s="19" t="inlineStr">
        <is>
          <t>11.12</t>
        </is>
      </c>
      <c r="B16" s="19" t="inlineStr">
        <is>
          <t>Voit-on toujours quelque chose pendant les chargements ?</t>
        </is>
      </c>
      <c r="C16" s="19" t="inlineStr">
        <is>
          <t>Loading states adaptés (skeletons pour listes, spinners pour actions, progress pour upload)</t>
        </is>
      </c>
      <c r="D16" s="19" t="inlineStr">
        <is>
          <t>Throttler le réseau → feedback visuel cohérent</t>
        </is>
      </c>
      <c r="E16" s="25" t="inlineStr">
        <is>
          <t>🟢</t>
        </is>
      </c>
      <c r="F16" s="21" t="inlineStr">
        <is>
          <t>🔁</t>
        </is>
      </c>
      <c r="G16" s="22" t="inlineStr"/>
      <c r="H16" s="19" t="inlineStr"/>
      <c r="I16" s="23" t="inlineStr">
        <is>
          <t>🔧 DevTools throttling</t>
        </is>
      </c>
    </row>
    <row r="17" ht="70" customHeight="1">
      <c r="A17" s="19" t="inlineStr">
        <is>
          <t>11.13</t>
        </is>
      </c>
      <c r="B17" s="19" t="inlineStr">
        <is>
          <t>Toutes nos icônes ont-elles le même style ?</t>
        </is>
      </c>
      <c r="C17" s="19" t="inlineStr">
        <is>
          <t>Iconographie cohérente (un seul set : Lucide / Heroicons / Material…)</t>
        </is>
      </c>
      <c r="D17" s="19" t="inlineStr">
        <is>
          <t>Audit visuel — pas de mélange de styles</t>
        </is>
      </c>
      <c r="E17" s="25" t="inlineStr">
        <is>
          <t>🟢</t>
        </is>
      </c>
      <c r="F17" s="21" t="inlineStr">
        <is>
          <t>🤖</t>
        </is>
      </c>
      <c r="G17" s="22" t="inlineStr"/>
      <c r="H17" s="19" t="inlineStr"/>
      <c r="I17" s="23" t="inlineStr">
        <is>
          <t>🔧 grep des imports d'icônes
🤖 Claude : audit des imports lucide-react, @heroicons/react, etc.</t>
        </is>
      </c>
    </row>
    <row r="18" ht="70" customHeight="1">
      <c r="A18" s="19" t="inlineStr">
        <is>
          <t>11.14</t>
        </is>
      </c>
      <c r="B18" s="19" t="inlineStr">
        <is>
          <t>Notre marque est-elle cohérente partout (app, emails, partages sociaux) ?</t>
        </is>
      </c>
      <c r="C18" s="19" t="inlineStr">
        <is>
          <t>Branding complet : logo, favicons (multiple tailles), OG, splash PWA, emails harmonisés</t>
        </is>
      </c>
      <c r="D18" s="19" t="inlineStr">
        <is>
          <t>Audit visuel des touchpoints non-app</t>
        </is>
      </c>
      <c r="E18" s="24" t="inlineStr">
        <is>
          <t>🟡</t>
        </is>
      </c>
      <c r="F18" s="21" t="inlineStr">
        <is>
          <t>🔁</t>
        </is>
      </c>
      <c r="G18" s="22" t="inlineStr"/>
      <c r="H18" s="19" t="inlineStr"/>
      <c r="I18" s="23" t="inlineStr">
        <is>
          <t>🔧 RealFaviconGenerator (gratuit) · audit visuel emails</t>
        </is>
      </c>
    </row>
    <row r="19" ht="70" customHeight="1">
      <c r="A19" s="19" t="inlineStr">
        <is>
          <t>11.15</t>
        </is>
      </c>
      <c r="B19" s="19" t="inlineStr">
        <is>
          <t>L'app est-elle aussi bien soignée sur mobile que sur desktop ?</t>
        </is>
      </c>
      <c r="C19" s="19" t="inlineStr">
        <is>
          <t>Breakpoints responsive documentés et appliqués (mobile-first idéalement)</t>
        </is>
      </c>
      <c r="D19" s="19" t="inlineStr">
        <is>
          <t>Tester desktop / tablet / mobile / 375px</t>
        </is>
      </c>
      <c r="E19" s="20" t="inlineStr">
        <is>
          <t>🔴</t>
        </is>
      </c>
      <c r="F19" s="21" t="inlineStr">
        <is>
          <t>🔁</t>
        </is>
      </c>
      <c r="G19" s="22" t="inlineStr"/>
      <c r="H19" s="19" t="inlineStr"/>
      <c r="I19" s="23" t="inlineStr">
        <is>
          <t>🔧 Playwright multi-viewport · DevTools</t>
        </is>
      </c>
    </row>
    <row r="20" ht="70" customHeight="1">
      <c r="A20" s="19" t="inlineStr">
        <is>
          <t>11.16</t>
        </is>
      </c>
      <c r="B20" s="19" t="inlineStr">
        <is>
          <t>Nos écrans complexes sont-ils découpés pour ne pas écraser l'utilisateur ?</t>
        </is>
      </c>
      <c r="C20" s="19" t="inlineStr">
        <is>
          <t>Progressive disclosure : ne pas tout montrer d'un coup (accordions, tabs, 'Voir plus')</t>
        </is>
      </c>
      <c r="D20" s="19" t="inlineStr">
        <is>
          <t>Audit cognitif des écrans denses</t>
        </is>
      </c>
      <c r="E20" s="25" t="inlineStr">
        <is>
          <t>🟢</t>
        </is>
      </c>
      <c r="F20" s="21" t="inlineStr">
        <is>
          <t>👤</t>
        </is>
      </c>
      <c r="G20" s="22" t="inlineStr"/>
      <c r="H20" s="19" t="inlineStr"/>
      <c r="I20" s="23" t="inlineStr">
        <is>
          <t>🔧 Audit visuel humain</t>
        </is>
      </c>
    </row>
    <row r="21" ht="70" customHeight="1">
      <c r="A21" s="19" t="inlineStr">
        <is>
          <t>11.17</t>
        </is>
      </c>
      <c r="B21" s="19" t="inlineStr">
        <is>
          <t>Une suppression peut-elle être annulée d'un clic, plutôt que confirmée à l'avance ?</t>
        </is>
      </c>
      <c r="C21" s="19" t="inlineStr">
        <is>
          <t>Undo &gt; confirm modal sur les actions réversibles</t>
        </is>
      </c>
      <c r="D21" s="19" t="inlineStr">
        <is>
          <t>Comparer suppression légère vs définitive</t>
        </is>
      </c>
      <c r="E21" s="25" t="inlineStr">
        <is>
          <t>🟢</t>
        </is>
      </c>
      <c r="F21" s="21" t="inlineStr">
        <is>
          <t>🔁</t>
        </is>
      </c>
      <c r="G21" s="22" t="inlineStr"/>
      <c r="H21" s="19" t="inlineStr"/>
      <c r="I21" s="23" t="inlineStr">
        <is>
          <t>🔧 Audit UX manuel</t>
        </is>
      </c>
    </row>
    <row r="22" ht="70" customHeight="1">
      <c r="A22" s="19" t="inlineStr">
        <is>
          <t>11.18</t>
        </is>
      </c>
      <c r="B22" s="19" t="inlineStr">
        <is>
          <t>Nos notifications sont-elles cohérentes et non bloquantes ?</t>
        </is>
      </c>
      <c r="C22" s="19" t="inlineStr">
        <is>
          <t>Notifications (toasts) cohérents : positionnement fixe, durée standardisée, dismissable</t>
        </is>
      </c>
      <c r="D22" s="19" t="inlineStr">
        <is>
          <t>Déclencher plusieurs toasts en parallèle</t>
        </is>
      </c>
      <c r="E22" s="24" t="inlineStr">
        <is>
          <t>🟡</t>
        </is>
      </c>
      <c r="F22" s="21" t="inlineStr">
        <is>
          <t>🔁</t>
        </is>
      </c>
      <c r="G22" s="22" t="inlineStr"/>
      <c r="H22" s="19" t="inlineStr"/>
      <c r="I22" s="23" t="inlineStr">
        <is>
          <t>🔧 Audit visuel · Storybook</t>
        </is>
      </c>
    </row>
    <row r="23" ht="70" customHeight="1">
      <c r="A23" s="19" t="inlineStr">
        <is>
          <t>11.19</t>
        </is>
      </c>
      <c r="B23" s="19" t="inlineStr">
        <is>
          <t>Notre app respecte-t-elle l'éthique du design ou utilise-t-elle des manipulations ?</t>
        </is>
      </c>
      <c r="C23" s="19" t="inlineStr">
        <is>
          <t>Pas de dark patterns (croix introuvable, urgence factice, opt-in pré-coché, désabonnement caché)</t>
        </is>
      </c>
      <c r="D23" s="19" t="inlineStr">
        <is>
          <t>Audit éthique — un tiers neutre repère-t-il un pattern manipulatoire ?</t>
        </is>
      </c>
      <c r="E23" s="20" t="inlineStr">
        <is>
          <t>🔴</t>
        </is>
      </c>
      <c r="F23" s="21" t="inlineStr">
        <is>
          <t>👤</t>
        </is>
      </c>
      <c r="G23" s="22" t="inlineStr"/>
      <c r="H23" s="19" t="inlineStr">
        <is>
          <t>⚠️ Décision éthique humaine</t>
        </is>
      </c>
      <c r="I23" s="23" t="inlineStr">
        <is>
          <t>🔧 deceptive.design (gratuit, référentiel)
🤖 Claude : audit des patterns d'UI pour identifier les dark patterns connus</t>
        </is>
      </c>
    </row>
    <row r="24" ht="70" customHeight="1">
      <c r="A24" s="19" t="inlineStr">
        <is>
          <t>11.20</t>
        </is>
      </c>
      <c r="B24" s="19" t="inlineStr">
        <is>
          <t>Quand on revient en arrière, retrouve-t-on l'état où on l'avait laissé ?</t>
        </is>
      </c>
      <c r="C24" s="19" t="inlineStr">
        <is>
          <t>Cohérence multi-écrans : revenir à un écran préserve l'état (scroll, filtres, sélection)</t>
        </is>
      </c>
      <c r="D24" s="19" t="inlineStr">
        <is>
          <t>Tester nav avant/arrière dans le navigateur</t>
        </is>
      </c>
      <c r="E24" s="25" t="inlineStr">
        <is>
          <t>🟢</t>
        </is>
      </c>
      <c r="F24" s="21" t="inlineStr">
        <is>
          <t>🔁</t>
        </is>
      </c>
      <c r="G24" s="22" t="inlineStr"/>
      <c r="H24" s="19" t="inlineStr"/>
      <c r="I24" s="23" t="inlineStr">
        <is>
          <t>🔧 Playwright navigation tests</t>
        </is>
      </c>
    </row>
  </sheetData>
  <mergeCells count="2">
    <mergeCell ref="A1:I1"/>
    <mergeCell ref="A2:I2"/>
  </mergeCells>
  <conditionalFormatting sqref="G5:G24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12. Frontend ↔ Backend</t>
        </is>
      </c>
    </row>
    <row r="2">
      <c r="A2" s="2" t="inlineStr">
        <is>
          <t>Contrats API, HTTP semantique, naming/dates/pagination, validation, cache, versioning, CORS, idempotency.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12.1</t>
        </is>
      </c>
      <c r="B5" s="19" t="inlineStr">
        <is>
          <t>Quand l'API change, le frontend casse-t-il à la compilation ou seulement en runtime ?</t>
        </is>
      </c>
      <c r="C5" s="19" t="inlineStr">
        <is>
          <t>Types partagés frontend ↔ backend (OpenAPI, GraphQL, Zod monorepo, tRPC…)</t>
        </is>
      </c>
      <c r="D5" s="19" t="inlineStr">
        <is>
          <t>Changer un champ backend → erreur TS côté frontend ?</t>
        </is>
      </c>
      <c r="E5" s="24" t="inlineStr">
        <is>
          <t>🟡</t>
        </is>
      </c>
      <c r="F5" s="21" t="inlineStr">
        <is>
          <t>🤖</t>
        </is>
      </c>
      <c r="G5" s="22" t="inlineStr"/>
      <c r="H5" s="19" t="inlineStr"/>
      <c r="I5" s="23" t="inlineStr">
        <is>
          <t>🔧 OpenAPI Generator (gratuit) · tRPC (gratuit) · GraphQL Codegen (gratuit)
🤖 Claude : génération de la couche de types depuis OpenAPI</t>
        </is>
      </c>
    </row>
    <row r="6" ht="70" customHeight="1">
      <c r="A6" s="19" t="inlineStr">
        <is>
          <t>12.2</t>
        </is>
      </c>
      <c r="B6" s="19" t="inlineStr">
        <is>
          <t>Tous nos endpoints retournent-ils les erreurs dans le même format ?</t>
        </is>
      </c>
      <c r="C6" s="19" t="inlineStr">
        <is>
          <t>Format d'erreur API uniforme partout ({ error, code?, fields? } ou équivalent)</t>
        </is>
      </c>
      <c r="D6" s="19" t="inlineStr">
        <is>
          <t>Inspecter 10 endpoints en erreur → même structure ?</t>
        </is>
      </c>
      <c r="E6" s="20" t="inlineStr">
        <is>
          <t>🔴</t>
        </is>
      </c>
      <c r="F6" s="21" t="inlineStr">
        <is>
          <t>🤖</t>
        </is>
      </c>
      <c r="G6" s="22" t="inlineStr"/>
      <c r="H6" s="19" t="inlineStr"/>
      <c r="I6" s="23" t="inlineStr">
        <is>
          <t>🔧 Postman / Hoppscotch · revue code middleware d'erreur
🤖 Claude : audit des handlers d'erreur pour uniformiser</t>
        </is>
      </c>
    </row>
    <row r="7" ht="70" customHeight="1">
      <c r="A7" s="19" t="inlineStr">
        <is>
          <t>12.3</t>
        </is>
      </c>
      <c r="B7" s="19" t="inlineStr">
        <is>
          <t>Les codes HTTP renvoyés respectent-ils la sémantique standard ?</t>
        </is>
      </c>
      <c r="C7" s="19" t="inlineStr">
        <is>
          <t>HTTP status codes sémantiquement corrects (201/204/400/401/403/404/422/429/5xx)</t>
        </is>
      </c>
      <c r="D7" s="19" t="inlineStr">
        <is>
          <t>Tester chaque cas → bon code retourné ?</t>
        </is>
      </c>
      <c r="E7" s="24" t="inlineStr">
        <is>
          <t>🟡</t>
        </is>
      </c>
      <c r="F7" s="21" t="inlineStr">
        <is>
          <t>🤖</t>
        </is>
      </c>
      <c r="G7" s="22" t="inlineStr"/>
      <c r="H7" s="19" t="inlineStr"/>
      <c r="I7" s="23" t="inlineStr">
        <is>
          <t>🔧 Tests API automatisés · Schemathesis (gratuit)
🤖 Claude : audit route par route des codes retournés</t>
        </is>
      </c>
    </row>
    <row r="8" ht="70" customHeight="1">
      <c r="A8" s="19" t="inlineStr">
        <is>
          <t>12.4</t>
        </is>
      </c>
      <c r="B8" s="19" t="inlineStr">
        <is>
          <t>Nos endpoints respectent-ils la convention REST ?</t>
        </is>
      </c>
      <c r="C8" s="19" t="inlineStr">
        <is>
          <t>Verbes HTTP respectés (GET idempotent, POST create, PUT replace, PATCH partial, DELETE)</t>
        </is>
      </c>
      <c r="D8" s="19" t="inlineStr">
        <is>
          <t>Audit route par route</t>
        </is>
      </c>
      <c r="E8" s="24" t="inlineStr">
        <is>
          <t>🟡</t>
        </is>
      </c>
      <c r="F8" s="21" t="inlineStr">
        <is>
          <t>🤖</t>
        </is>
      </c>
      <c r="G8" s="22" t="inlineStr"/>
      <c r="H8" s="19" t="inlineStr"/>
      <c r="I8" s="23" t="inlineStr">
        <is>
          <t>🔧 grep app.get|app.post + revue code
🤖 Claude : audit sémantique des routes</t>
        </is>
      </c>
    </row>
    <row r="9" ht="70" customHeight="1">
      <c r="A9" s="19" t="inlineStr">
        <is>
          <t>12.5</t>
        </is>
      </c>
      <c r="B9" s="19" t="inlineStr">
        <is>
          <t>Nos APIs renvoient-elles les champs avec une convention de nommage uniforme ?</t>
        </is>
      </c>
      <c r="C9" s="19" t="inlineStr">
        <is>
          <t>Naming des champs cohérent (camelCase OU snake_case partout, pas mélangé)</t>
        </is>
      </c>
      <c r="D9" s="19" t="inlineStr">
        <is>
          <t>Inspecter 10 endpoints + frontend usage</t>
        </is>
      </c>
      <c r="E9" s="24" t="inlineStr">
        <is>
          <t>🟡</t>
        </is>
      </c>
      <c r="F9" s="21" t="inlineStr">
        <is>
          <t>🤖</t>
        </is>
      </c>
      <c r="G9" s="22" t="inlineStr"/>
      <c r="H9" s="19" t="inlineStr"/>
      <c r="I9" s="23" t="inlineStr">
        <is>
          <t>🔧 grep + ESLint rule custom
🤖 Claude : audit du naming et propositions de refactor</t>
        </is>
      </c>
    </row>
    <row r="10" ht="70" customHeight="1">
      <c r="A10" s="19" t="inlineStr">
        <is>
          <t>12.6</t>
        </is>
      </c>
      <c r="B10" s="19" t="inlineStr">
        <is>
          <t>Les dates renvoyées par l'API sont-elles toutes au même format ?</t>
        </is>
      </c>
      <c r="C10" s="19" t="inlineStr">
        <is>
          <t>Format de dates uniforme (ISO 8601 dans les réponses, parsing identique côté frontend)</t>
        </is>
      </c>
      <c r="D10" s="19" t="inlineStr">
        <is>
          <t>Audit des champs *At / *Date</t>
        </is>
      </c>
      <c r="E10" s="24" t="inlineStr">
        <is>
          <t>🟡</t>
        </is>
      </c>
      <c r="F10" s="21" t="inlineStr">
        <is>
          <t>🤖</t>
        </is>
      </c>
      <c r="G10" s="22" t="inlineStr"/>
      <c r="H10" s="19" t="inlineStr"/>
      <c r="I10" s="23" t="inlineStr">
        <is>
          <t>🔧 grep des champs date · tests d'intégration</t>
        </is>
      </c>
    </row>
    <row r="11" ht="70" customHeight="1">
      <c r="A11" s="19" t="inlineStr">
        <is>
          <t>12.7</t>
        </is>
      </c>
      <c r="B11" s="19" t="inlineStr">
        <is>
          <t>Notre pagination est-elle cohérente sur tous les endpoints qui retournent des listes ?</t>
        </is>
      </c>
      <c r="C11" s="19" t="inlineStr">
        <is>
          <t>Pagination uniforme (offset/limit OU cursor partout)</t>
        </is>
      </c>
      <c r="D11" s="19" t="inlineStr">
        <is>
          <t>Inspecter 3-5 endpoints paginés</t>
        </is>
      </c>
      <c r="E11" s="24" t="inlineStr">
        <is>
          <t>🟡</t>
        </is>
      </c>
      <c r="F11" s="21" t="inlineStr">
        <is>
          <t>🤖</t>
        </is>
      </c>
      <c r="G11" s="22" t="inlineStr"/>
      <c r="H11" s="19" t="inlineStr"/>
      <c r="I11" s="23" t="inlineStr">
        <is>
          <t>🔧 Audit code des endpoints liste
🤖 Claude : audit des endpoints paginés pour uniformiser</t>
        </is>
      </c>
    </row>
    <row r="12" ht="70" customHeight="1">
      <c r="A12" s="19" t="inlineStr">
        <is>
          <t>12.8</t>
        </is>
      </c>
      <c r="B12" s="19" t="inlineStr">
        <is>
          <t>Les règles de saisie sont-elles cohérentes entre l'UI et le serveur ?</t>
        </is>
      </c>
      <c r="C12" s="19" t="inlineStr">
        <is>
          <t>Validation frontend mirror exactement la validation backend (min/max/regex/format)</t>
        </is>
      </c>
      <c r="D12" s="19" t="inlineStr">
        <is>
          <t>Bypass frontend → erreur backend ≡ erreur frontend ?</t>
        </is>
      </c>
      <c r="E12" s="24" t="inlineStr">
        <is>
          <t>🟡</t>
        </is>
      </c>
      <c r="F12" s="21" t="inlineStr">
        <is>
          <t>🔁</t>
        </is>
      </c>
      <c r="G12" s="22" t="inlineStr"/>
      <c r="H12" s="19" t="inlineStr"/>
      <c r="I12" s="23" t="inlineStr">
        <is>
          <t>🔧 Test manuel · Zod schemas partagés (gratuit)
🤖 Claude : audit des schemas de validation frontend vs backend</t>
        </is>
      </c>
    </row>
    <row r="13" ht="70" customHeight="1">
      <c r="A13" s="19" t="inlineStr">
        <is>
          <t>12.9</t>
        </is>
      </c>
      <c r="B13" s="19" t="inlineStr">
        <is>
          <t>Un utilisateur sans droits voit-il quand même des boutons qui ne marcheront pas ?</t>
        </is>
      </c>
      <c r="C13" s="19" t="inlineStr">
        <is>
          <t>Frontend cache features non autorisées (mais backend re-vérifie quand même)</t>
        </is>
      </c>
      <c r="D13" s="19" t="inlineStr">
        <is>
          <t>Token avec rôle limité → UI adaptée ET endpoint refuse</t>
        </is>
      </c>
      <c r="E13" s="24" t="inlineStr">
        <is>
          <t>🟡</t>
        </is>
      </c>
      <c r="F13" s="21" t="inlineStr">
        <is>
          <t>🔁</t>
        </is>
      </c>
      <c r="G13" s="22" t="inlineStr"/>
      <c r="H13" s="19" t="inlineStr"/>
      <c r="I13" s="23" t="inlineStr">
        <is>
          <t>🔧 Test manuel multi-rôle</t>
        </is>
      </c>
    </row>
    <row r="14" ht="70" customHeight="1">
      <c r="A14" s="19" t="inlineStr">
        <is>
          <t>12.10</t>
        </is>
      </c>
      <c r="B14" s="19" t="inlineStr">
        <is>
          <t>Si une action échoue après affichage optimiste, l'UI revient-elle en arrière proprement ?</t>
        </is>
      </c>
      <c r="C14" s="19" t="inlineStr">
        <is>
          <t>Optimistic UI avec rollback sur erreur (si utilisé) — pas de flash puis revert silencieux</t>
        </is>
      </c>
      <c r="D14" s="19" t="inlineStr">
        <is>
          <t>Couper le réseau pendant une action optimiste → revert ?</t>
        </is>
      </c>
      <c r="E14" s="25" t="inlineStr">
        <is>
          <t>🟢</t>
        </is>
      </c>
      <c r="F14" s="21" t="inlineStr">
        <is>
          <t>🔁</t>
        </is>
      </c>
      <c r="G14" s="22" t="inlineStr"/>
      <c r="H14" s="19" t="inlineStr"/>
      <c r="I14" s="23" t="inlineStr">
        <is>
          <t>🔧 Playwright route mocking (gratuit)</t>
        </is>
      </c>
    </row>
    <row r="15" ht="70" customHeight="1">
      <c r="A15" s="19" t="inlineStr">
        <is>
          <t>12.11</t>
        </is>
      </c>
      <c r="B15" s="19" t="inlineStr">
        <is>
          <t>Après modification, la liste se met-elle à jour automatiquement ?</t>
        </is>
      </c>
      <c r="C15" s="19" t="inlineStr">
        <is>
          <t>Cache invalidation après mutation (refresh la query React Query/SWR)</t>
        </is>
      </c>
      <c r="D15" s="19" t="inlineStr">
        <is>
          <t>Modifier une ressource → liste se rafraîchit sans reload ?</t>
        </is>
      </c>
      <c r="E15" s="24" t="inlineStr">
        <is>
          <t>🟡</t>
        </is>
      </c>
      <c r="F15" s="21" t="inlineStr">
        <is>
          <t>🔁</t>
        </is>
      </c>
      <c r="G15" s="22" t="inlineStr"/>
      <c r="H15" s="19" t="inlineStr"/>
      <c r="I15" s="23" t="inlineStr">
        <is>
          <t>🔧 Test manuel · audit code React Query / SWR
🤖 Claude : audit des mutations React Query pour vérifier l'invalidation</t>
        </is>
      </c>
    </row>
    <row r="16" ht="70" customHeight="1">
      <c r="A16" s="19" t="inlineStr">
        <is>
          <t>12.12</t>
        </is>
      </c>
      <c r="B16" s="19" t="inlineStr">
        <is>
          <t>Si la connexion temps réel se coupe, se reconnecte-t-elle automatiquement ?</t>
        </is>
      </c>
      <c r="C16" s="19" t="inlineStr">
        <is>
          <t>WebSocket / SSE / polling : reconnexion automatique, état UI synchronisé</t>
        </is>
      </c>
      <c r="D16" s="19" t="inlineStr">
        <is>
          <t>Couper le wifi 30s puis rétablir → état cohérent ?</t>
        </is>
      </c>
      <c r="E16" s="25" t="inlineStr">
        <is>
          <t>🟢</t>
        </is>
      </c>
      <c r="F16" s="21" t="inlineStr">
        <is>
          <t>🔁</t>
        </is>
      </c>
      <c r="G16" s="22" t="inlineStr"/>
      <c r="H16" s="19" t="inlineStr"/>
      <c r="I16" s="23" t="inlineStr">
        <is>
          <t>🔧 Test manuel · DevTools network throttling</t>
        </is>
      </c>
    </row>
    <row r="17" ht="70" customHeight="1">
      <c r="A17" s="19" t="inlineStr">
        <is>
          <t>12.13</t>
        </is>
      </c>
      <c r="B17" s="19" t="inlineStr">
        <is>
          <t>Le frontend abandonne-t-il avant que le backend ait fini de répondre ?</t>
        </is>
      </c>
      <c r="C17" s="19" t="inlineStr">
        <is>
          <t>Timeout frontend (~30s) cohérent avec timeout backend</t>
        </is>
      </c>
      <c r="D17" s="19" t="inlineStr">
        <is>
          <t>Tester avec un endpoint lent</t>
        </is>
      </c>
      <c r="E17" s="24" t="inlineStr">
        <is>
          <t>🟡</t>
        </is>
      </c>
      <c r="F17" s="21" t="inlineStr">
        <is>
          <t>🤖</t>
        </is>
      </c>
      <c r="G17" s="22" t="inlineStr"/>
      <c r="H17" s="19" t="inlineStr"/>
      <c r="I17" s="23" t="inlineStr">
        <is>
          <t>🔧 grep des timeouts fetch · audit code</t>
        </is>
      </c>
    </row>
    <row r="18" ht="70" customHeight="1">
      <c r="A18" s="19" t="inlineStr">
        <is>
          <t>12.14</t>
        </is>
      </c>
      <c r="B18" s="19" t="inlineStr">
        <is>
          <t>Les messages d'erreur affichés sont-ils dans la langue choisie par l'utilisateur ?</t>
        </is>
      </c>
      <c r="C18" s="19" t="inlineStr">
        <is>
          <t>Messages traduits côté serveur OU côté frontend (mais pas mix EN/FR)</t>
        </is>
      </c>
      <c r="D18" s="19" t="inlineStr">
        <is>
          <t>Vérifier que les erreurs backend remontent dans la bonne langue</t>
        </is>
      </c>
      <c r="E18" s="24" t="inlineStr">
        <is>
          <t>🟡</t>
        </is>
      </c>
      <c r="F18" s="21" t="inlineStr">
        <is>
          <t>🔁</t>
        </is>
      </c>
      <c r="G18" s="22" t="inlineStr"/>
      <c r="H18" s="19" t="inlineStr"/>
      <c r="I18" s="23" t="inlineStr">
        <is>
          <t>🔧 Test manuel multilingue</t>
        </is>
      </c>
    </row>
    <row r="19" ht="70" customHeight="1">
      <c r="A19" s="19" t="inlineStr">
        <is>
          <t>12.15</t>
        </is>
      </c>
      <c r="B19" s="19" t="inlineStr">
        <is>
          <t>Quand on change l'API, peut-on garder l'ancienne en service le temps que le frontend migre ?</t>
        </is>
      </c>
      <c r="C19" s="19" t="inlineStr">
        <is>
          <t>Versioning API : changement breaking → nouveau endpoint OU header Accept-Version</t>
        </is>
      </c>
      <c r="D19" s="19" t="inlineStr">
        <is>
          <t>Audit changelog backend</t>
        </is>
      </c>
      <c r="E19" s="24" t="inlineStr">
        <is>
          <t>🟡</t>
        </is>
      </c>
      <c r="F19" s="21" t="inlineStr">
        <is>
          <t>👤</t>
        </is>
      </c>
      <c r="G19" s="22" t="inlineStr"/>
      <c r="H19" s="19" t="inlineStr"/>
      <c r="I19" s="23" t="inlineStr">
        <is>
          <t>🔧 Stratégie versioning documentée
🤖 Claude : aide à la stratégie de versioning API</t>
        </is>
      </c>
    </row>
    <row r="20" ht="70" customHeight="1">
      <c r="A20" s="19" t="inlineStr">
        <is>
          <t>12.16</t>
        </is>
      </c>
      <c r="B20" s="19" t="inlineStr">
        <is>
          <t>Si on coupe une feature côté serveur, le bouton disparaît-il côté UI ?</t>
        </is>
      </c>
      <c r="C20" s="19" t="inlineStr">
        <is>
          <t>Feature flags cohérents (flag OFF backend → frontend ne propose pas la feature)</t>
        </is>
      </c>
      <c r="D20" s="19" t="inlineStr">
        <is>
          <t>Désactiver un flag → audit UI</t>
        </is>
      </c>
      <c r="E20" s="24" t="inlineStr">
        <is>
          <t>🟡</t>
        </is>
      </c>
      <c r="F20" s="21" t="inlineStr">
        <is>
          <t>🔁</t>
        </is>
      </c>
      <c r="G20" s="22" t="inlineStr"/>
      <c r="H20" s="19" t="inlineStr"/>
      <c r="I20" s="23" t="inlineStr">
        <is>
          <t>🔧 Test manuel · LaunchDarkly (payant) · GrowthBook (gratuit)</t>
        </is>
      </c>
    </row>
    <row r="21" ht="70" customHeight="1">
      <c r="A21" s="19" t="inlineStr">
        <is>
          <t>12.17</t>
        </is>
      </c>
      <c r="B21" s="19" t="inlineStr">
        <is>
          <t>Un utilisateur avec un onglet ouvert depuis 1 semaine peut-il continuer à utiliser l'app ?</t>
        </is>
      </c>
      <c r="C21" s="19" t="inlineStr">
        <is>
          <t>Compatibilité descendante (vieux frontend en cache ne casse pas le backend N+1)</t>
        </is>
      </c>
      <c r="D21" s="19" t="inlineStr">
        <is>
          <t>Tester avec un build frontend de la semaine dernière</t>
        </is>
      </c>
      <c r="E21" s="24" t="inlineStr">
        <is>
          <t>🟡</t>
        </is>
      </c>
      <c r="F21" s="21" t="inlineStr">
        <is>
          <t>🔁</t>
        </is>
      </c>
      <c r="G21" s="22" t="inlineStr"/>
      <c r="H21" s="19" t="inlineStr"/>
      <c r="I21" s="23" t="inlineStr">
        <is>
          <t>🔧 Test manuel avec build N-1</t>
        </is>
      </c>
    </row>
    <row r="22" ht="70" customHeight="1">
      <c r="A22" s="19" t="inlineStr">
        <is>
          <t>12.18</t>
        </is>
      </c>
      <c r="B22" s="19" t="inlineStr">
        <is>
          <t>Quand on déploie une nouvelle version, les utilisateurs récupèrent-ils bien les nouveaux fichiers ?</t>
        </is>
      </c>
      <c r="C22" s="19" t="inlineStr">
        <is>
          <t>Assets / chunk hashing : nouvelles versions invalident le cache navigateur</t>
        </is>
      </c>
      <c r="D22" s="19" t="inlineStr">
        <is>
          <t>Inspecter le nom des chunks dans /dist</t>
        </is>
      </c>
      <c r="E22" s="20" t="inlineStr">
        <is>
          <t>🔴</t>
        </is>
      </c>
      <c r="F22" s="21" t="inlineStr">
        <is>
          <t>🤖</t>
        </is>
      </c>
      <c r="G22" s="22" t="inlineStr"/>
      <c r="H22" s="19" t="inlineStr"/>
      <c r="I22" s="23" t="inlineStr">
        <is>
          <t>🔧 Vite / Webpack default · audit build</t>
        </is>
      </c>
    </row>
    <row r="23" ht="70" customHeight="1">
      <c r="A23" s="19" t="inlineStr">
        <is>
          <t>12.19</t>
        </is>
      </c>
      <c r="B23" s="19" t="inlineStr">
        <is>
          <t>L'authentification fonctionne-t-elle correctement avec des cookies cross-origin ?</t>
        </is>
      </c>
      <c r="C23" s="19" t="inlineStr">
        <is>
          <t>Auth cookies : credentials: 'include' + Access-Control-Allow-Credentials: true + origin spécifique</t>
        </is>
      </c>
      <c r="D23" s="19" t="inlineStr">
        <is>
          <t>Inspecter une requête authentifiée cross-origin</t>
        </is>
      </c>
      <c r="E23" s="20" t="inlineStr">
        <is>
          <t>🔴</t>
        </is>
      </c>
      <c r="F23" s="21" t="inlineStr">
        <is>
          <t>🤖</t>
        </is>
      </c>
      <c r="G23" s="22" t="inlineStr"/>
      <c r="H23" s="19" t="inlineStr"/>
      <c r="I23" s="23" t="inlineStr">
        <is>
          <t>🔧 DevTools Network
🤖 Claude : audit de la config CORS et fetch credentials</t>
        </is>
      </c>
    </row>
    <row r="24" ht="70" customHeight="1">
      <c r="A24" s="19" t="inlineStr">
        <is>
          <t>12.20</t>
        </is>
      </c>
      <c r="B24" s="19" t="inlineStr">
        <is>
          <t>Notre API accepte-t-elle des requêtes de n'importe quel site, ou seulement des nôtres ?</t>
        </is>
      </c>
      <c r="C24" s="19" t="inlineStr">
        <is>
          <t>CORS configuré strictement (pas Allow-Origin: * si credentials, allowlist explicite)</t>
        </is>
      </c>
      <c r="D24" s="19" t="inlineStr">
        <is>
          <t>Inspecter le header CORS sur l'API</t>
        </is>
      </c>
      <c r="E24" s="20" t="inlineStr">
        <is>
          <t>🔴</t>
        </is>
      </c>
      <c r="F24" s="21" t="inlineStr">
        <is>
          <t>🤖</t>
        </is>
      </c>
      <c r="G24" s="22" t="inlineStr"/>
      <c r="H24" s="19" t="inlineStr"/>
      <c r="I24" s="23" t="inlineStr">
        <is>
          <t>🔧 DevTools · curl -H 'Origin: evil.com'
🤖 Claude : audit de la config CORS</t>
        </is>
      </c>
    </row>
    <row r="25" ht="70" customHeight="1">
      <c r="A25" s="19" t="inlineStr">
        <is>
          <t>12.21</t>
        </is>
      </c>
      <c r="B25" s="19" t="inlineStr">
        <is>
          <t>Pouvons-nous tester en 1 requête que notre backend tourne ?</t>
        </is>
      </c>
      <c r="C25" s="19" t="inlineStr">
        <is>
          <t>Endpoint pour vérifier santé / version (/health, /version)</t>
        </is>
      </c>
      <c r="D25" s="19" t="inlineStr">
        <is>
          <t>Coller /health en URL → réponse exploitable ?</t>
        </is>
      </c>
      <c r="E25" s="25" t="inlineStr">
        <is>
          <t>🟢</t>
        </is>
      </c>
      <c r="F25" s="21" t="inlineStr">
        <is>
          <t>🤖</t>
        </is>
      </c>
      <c r="G25" s="22" t="inlineStr"/>
      <c r="H25" s="19" t="inlineStr"/>
      <c r="I25" s="23" t="inlineStr">
        <is>
          <t>🔧 curl · UptimeRobot</t>
        </is>
      </c>
    </row>
    <row r="26" ht="70" customHeight="1">
      <c r="A26" s="19" t="inlineStr">
        <is>
          <t>12.22</t>
        </is>
      </c>
      <c r="B26" s="19" t="inlineStr">
        <is>
          <t>Un retry réseau peut-il déclencher 2 paiements ou 2 emails ?</t>
        </is>
      </c>
      <c r="C26" s="19" t="inlineStr">
        <is>
          <t>Idempotency-Key supporté sur les mutations critiques (paiement, IA payée, emails)</t>
        </is>
      </c>
      <c r="D26" s="19" t="inlineStr">
        <is>
          <t>Tester double-call avec même idem-key → un seul effet ?</t>
        </is>
      </c>
      <c r="E26" s="24" t="inlineStr">
        <is>
          <t>🟡</t>
        </is>
      </c>
      <c r="F26" s="21" t="inlineStr">
        <is>
          <t>🔁</t>
        </is>
      </c>
      <c r="G26" s="22" t="inlineStr"/>
      <c r="H26" s="19" t="inlineStr"/>
      <c r="I26" s="23" t="inlineStr">
        <is>
          <t>🔧 Test manuel · audit code des endpoints critiques
🤖 Claude : audit des mutations critiques pour support idempotency</t>
        </is>
      </c>
    </row>
    <row r="27" ht="70" customHeight="1">
      <c r="A27" s="19" t="inlineStr">
        <is>
          <t>12.23</t>
        </is>
      </c>
      <c r="B27" s="19" t="inlineStr">
        <is>
          <t>Les limites de taille de fichier annoncées sont-elles vraiment respectées partout dans la chaîne ?</t>
        </is>
      </c>
      <c r="C27" s="19" t="inlineStr">
        <is>
          <t>Cohérence des limites de taille (upload max front ≤ max back ≤ max reverse-proxy)</t>
        </is>
      </c>
      <c r="D27" s="19" t="inlineStr">
        <is>
          <t>Tester upload juste au-dessus de la limite annoncée</t>
        </is>
      </c>
      <c r="E27" s="24" t="inlineStr">
        <is>
          <t>🟡</t>
        </is>
      </c>
      <c r="F27" s="21" t="inlineStr">
        <is>
          <t>🔁</t>
        </is>
      </c>
      <c r="G27" s="22" t="inlineStr"/>
      <c r="H27" s="19" t="inlineStr"/>
      <c r="I27" s="23" t="inlineStr">
        <is>
          <t>🔧 curl avec fichier de test</t>
        </is>
      </c>
    </row>
    <row r="28" ht="70" customHeight="1">
      <c r="A28" s="19" t="inlineStr">
        <is>
          <t>12.24</t>
        </is>
      </c>
      <c r="B28" s="19" t="inlineStr">
        <is>
          <t>Quand le réseau coupe, l'app retente intelligemment ou abandonne brutalement ?</t>
        </is>
      </c>
      <c r="C28" s="19" t="inlineStr">
        <is>
          <t>Erreurs réseau gérées proprement côté frontend (retry exponentiel sur 5xx, abandon clair sur 4xx)</t>
        </is>
      </c>
      <c r="D28" s="19" t="inlineStr">
        <is>
          <t>Couper le réseau → comportement attendu</t>
        </is>
      </c>
      <c r="E28" s="24" t="inlineStr">
        <is>
          <t>🟡</t>
        </is>
      </c>
      <c r="F28" s="21" t="inlineStr">
        <is>
          <t>🔁</t>
        </is>
      </c>
      <c r="G28" s="22" t="inlineStr"/>
      <c r="H28" s="19" t="inlineStr"/>
      <c r="I28" s="23" t="inlineStr">
        <is>
          <t>🔧 Playwright route mocking · audit code retry
🤖 Claude : audit des fetch wrappers pour stratégie de retry</t>
        </is>
      </c>
    </row>
  </sheetData>
  <mergeCells count="2">
    <mergeCell ref="A1:I1"/>
    <mergeCell ref="A2:I2"/>
  </mergeCells>
  <conditionalFormatting sqref="G5:G28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38" customWidth="1" min="4" max="4"/>
    <col width="8" customWidth="1" min="5" max="5"/>
    <col width="8" customWidth="1" min="6" max="6"/>
    <col width="10" customWidth="1" min="7" max="7"/>
    <col width="38" customWidth="1" min="8" max="8"/>
    <col width="42" customWidth="1" min="9" max="9"/>
  </cols>
  <sheetData>
    <row r="1" ht="28" customHeight="1">
      <c r="A1" s="1" t="inlineStr">
        <is>
          <t>13. Documentation &amp; Maintenance</t>
        </is>
      </c>
    </row>
    <row r="2">
      <c r="A2" s="2" t="inlineStr">
        <is>
          <t>Doc technique, doc utilisateur/admin, versioning, qualité du code, dette technique.</t>
        </is>
      </c>
    </row>
    <row r="4" ht="28" customHeight="1">
      <c r="A4" s="5" t="inlineStr">
        <is>
          <t>#</t>
        </is>
      </c>
      <c r="B4" s="5" t="inlineStr">
        <is>
          <t>Question Chef de Projet</t>
        </is>
      </c>
      <c r="C4" s="5" t="inlineStr">
        <is>
          <t>Critère Développeur</t>
        </is>
      </c>
      <c r="D4" s="5" t="inlineStr">
        <is>
          <t>Comment tester</t>
        </is>
      </c>
      <c r="E4" s="5" t="inlineStr">
        <is>
          <t>Crit.</t>
        </is>
      </c>
      <c r="F4" s="5" t="inlineStr">
        <is>
          <t>Auto</t>
        </is>
      </c>
      <c r="G4" s="5" t="inlineStr">
        <is>
          <t>Score</t>
        </is>
      </c>
      <c r="H4" s="5" t="inlineStr">
        <is>
          <t>Commentaire</t>
        </is>
      </c>
      <c r="I4" s="5" t="inlineStr">
        <is>
          <t>Outils &amp; IA</t>
        </is>
      </c>
    </row>
    <row r="5" ht="70" customHeight="1">
      <c r="A5" s="19" t="inlineStr">
        <is>
          <t>13.1</t>
        </is>
      </c>
      <c r="B5" s="19" t="inlineStr">
        <is>
          <t>Un nouveau développeur peut-il faire tourner le projet sans aide orale ?</t>
        </is>
      </c>
      <c r="C5" s="19" t="inlineStr">
        <is>
          <t>README à jour avec instructions d'installation et de démarrage</t>
        </is>
      </c>
      <c r="D5" s="19" t="inlineStr">
        <is>
          <t>Cloner le repo + suivre le README → projet tourne ?</t>
        </is>
      </c>
      <c r="E5" s="24" t="inlineStr">
        <is>
          <t>🟡</t>
        </is>
      </c>
      <c r="F5" s="21" t="inlineStr">
        <is>
          <t>🔁</t>
        </is>
      </c>
      <c r="G5" s="22" t="inlineStr"/>
      <c r="H5" s="19" t="inlineStr"/>
      <c r="I5" s="23" t="inlineStr">
        <is>
          <t>🔧 Audit visuel + test sur machine vierge
🤖 Claude : rédaction du README à partir d'une lecture du code</t>
        </is>
      </c>
    </row>
    <row r="6" ht="70" customHeight="1">
      <c r="A6" s="19" t="inlineStr">
        <is>
          <t>13.2</t>
        </is>
      </c>
      <c r="B6" s="19" t="inlineStr">
        <is>
          <t>Les choix techniques structurants sont-ils documentés et justifiés ?</t>
        </is>
      </c>
      <c r="C6" s="19" t="inlineStr">
        <is>
          <t>Architecture documentée (schéma, décisions techniques importantes)</t>
        </is>
      </c>
      <c r="D6" s="19" t="inlineStr">
        <is>
          <t>Document ARCHITECTURE.md ou diagramme accessible</t>
        </is>
      </c>
      <c r="E6" s="24" t="inlineStr">
        <is>
          <t>🟡</t>
        </is>
      </c>
      <c r="F6" s="21" t="inlineStr">
        <is>
          <t>🔁</t>
        </is>
      </c>
      <c r="G6" s="22" t="inlineStr"/>
      <c r="H6" s="19" t="inlineStr"/>
      <c r="I6" s="23" t="inlineStr">
        <is>
          <t>🔧 Mermaid (gratuit) · ADRs (Architecture Decision Records)
🤖 Claude : génération d'un premier ARCHITECTURE.md depuis le code</t>
        </is>
      </c>
    </row>
    <row r="7" ht="70" customHeight="1">
      <c r="A7" s="19" t="inlineStr">
        <is>
          <t>13.3</t>
        </is>
      </c>
      <c r="B7" s="19" t="inlineStr">
        <is>
          <t>Une équipe externe peut-elle intégrer nos APIs sans nous demander d'explications ?</t>
        </is>
      </c>
      <c r="C7" s="19" t="inlineStr">
        <is>
          <t>APIs internes documentées (OpenAPI / Swagger / docstrings)</t>
        </is>
      </c>
      <c r="D7" s="19" t="inlineStr">
        <is>
          <t>Documentation API consultable</t>
        </is>
      </c>
      <c r="E7" s="24" t="inlineStr">
        <is>
          <t>🟡</t>
        </is>
      </c>
      <c r="F7" s="21" t="inlineStr">
        <is>
          <t>🤖</t>
        </is>
      </c>
      <c r="G7" s="22" t="inlineStr"/>
      <c r="H7" s="19" t="inlineStr"/>
      <c r="I7" s="23" t="inlineStr">
        <is>
          <t>🔧 OpenAPI Generator · Swagger UI · Redoc (gratuit)
🤖 Claude : génération de la doc OpenAPI depuis les routes du code</t>
        </is>
      </c>
    </row>
    <row r="8" ht="70" customHeight="1">
      <c r="A8" s="19" t="inlineStr">
        <is>
          <t>13.4</t>
        </is>
      </c>
      <c r="B8" s="19" t="inlineStr">
        <is>
          <t>Les utilisateurs ont-ils un guide / une FAQ disponible quand ils bloquent ?</t>
        </is>
      </c>
      <c r="C8" s="19" t="inlineStr">
        <is>
          <t>Documentation utilisateur (FAQ, guide) accessible depuis l'app</t>
        </is>
      </c>
      <c r="D8" s="19" t="inlineStr">
        <is>
          <t>URL /help ou widget d'aide</t>
        </is>
      </c>
      <c r="E8" s="25" t="inlineStr">
        <is>
          <t>🟢</t>
        </is>
      </c>
      <c r="F8" s="21" t="inlineStr">
        <is>
          <t>👤</t>
        </is>
      </c>
      <c r="G8" s="22" t="inlineStr"/>
      <c r="H8" s="19" t="inlineStr"/>
      <c r="I8" s="23" t="inlineStr">
        <is>
          <t>🔧 Notion (freemium) · GitBook (freemium) · Intercom (payant)
🤖 Claude : rédaction de la FAQ et des guides utilisateur à partir d'une description du produit</t>
        </is>
      </c>
    </row>
    <row r="9" ht="70" customHeight="1">
      <c r="A9" s="19" t="inlineStr">
        <is>
          <t>13.5</t>
        </is>
      </c>
      <c r="B9" s="19" t="inlineStr">
        <is>
          <t>L'équipe support peut-elle administrer les comptes sans appeler un développeur ?</t>
        </is>
      </c>
      <c r="C9" s="19" t="inlineStr">
        <is>
          <t>Documentation admin / back-office (procédures de maintenance courantes)</t>
        </is>
      </c>
      <c r="D9" s="19" t="inlineStr">
        <is>
          <t>Document accessible aux équipes ops/support</t>
        </is>
      </c>
      <c r="E9" s="24" t="inlineStr">
        <is>
          <t>🟡</t>
        </is>
      </c>
      <c r="F9" s="21" t="inlineStr">
        <is>
          <t>👤</t>
        </is>
      </c>
      <c r="G9" s="22" t="inlineStr"/>
      <c r="H9" s="19" t="inlineStr"/>
      <c r="I9" s="23" t="inlineStr">
        <is>
          <t>🔧 Notion / GitHub wiki
🤖 Claude : rédaction des procédures admin à partir d'une description</t>
        </is>
      </c>
    </row>
    <row r="10" ht="70" customHeight="1">
      <c r="A10" s="19" t="inlineStr">
        <is>
          <t>13.6</t>
        </is>
      </c>
      <c r="B10" s="19" t="inlineStr">
        <is>
          <t>L'historique des versions livrées est-il traçable ?</t>
        </is>
      </c>
      <c r="C10" s="19" t="inlineStr">
        <is>
          <t>Versioning sémantique appliqué (vX.Y.Z) + CHANGELOG maintenu à jour</t>
        </is>
      </c>
      <c r="D10" s="19" t="inlineStr">
        <is>
          <t>Tags git visibles + CHANGELOG.md récent</t>
        </is>
      </c>
      <c r="E10" s="25" t="inlineStr">
        <is>
          <t>🟢</t>
        </is>
      </c>
      <c r="F10" s="21" t="inlineStr">
        <is>
          <t>🤖</t>
        </is>
      </c>
      <c r="G10" s="22" t="inlineStr"/>
      <c r="H10" s="19" t="inlineStr"/>
      <c r="I10" s="23" t="inlineStr">
        <is>
          <t>🔧 Conventional Commits + semantic-release (gratuit)
🤖 Claude : génération du CHANGELOG depuis les commits</t>
        </is>
      </c>
    </row>
    <row r="11" ht="70" customHeight="1">
      <c r="A11" s="19" t="inlineStr">
        <is>
          <t>13.7</t>
        </is>
      </c>
      <c r="B11" s="19" t="inlineStr">
        <is>
          <t>Le code livré respecte-t-il un style cohérent imposé automatiquement ?</t>
        </is>
      </c>
      <c r="C11" s="19" t="inlineStr">
        <is>
          <t>Linter et formatter configurés (ESLint, Prettier, Black, gofmt…) appliqués en CI</t>
        </is>
      </c>
      <c r="D11" s="19" t="inlineStr">
        <is>
          <t>Hook pre-commit ou CI check qui bloque le merge en cas de violation</t>
        </is>
      </c>
      <c r="E11" s="24" t="inlineStr">
        <is>
          <t>🟡</t>
        </is>
      </c>
      <c r="F11" s="21" t="inlineStr">
        <is>
          <t>🤖</t>
        </is>
      </c>
      <c r="G11" s="22" t="inlineStr"/>
      <c r="H11" s="19" t="inlineStr"/>
      <c r="I11" s="23" t="inlineStr">
        <is>
          <t>🔧 ESLint + Prettier (gratuit) · Black (gratuit) · pre-commit hooks</t>
        </is>
      </c>
    </row>
    <row r="12" ht="70" customHeight="1">
      <c r="A12" s="19" t="inlineStr">
        <is>
          <t>13.8</t>
        </is>
      </c>
      <c r="B12" s="19" t="inlineStr">
        <is>
          <t>Le code livré est-il toujours relu par quelqu'un d'autre que son auteur ?</t>
        </is>
      </c>
      <c r="C12" s="19" t="inlineStr">
        <is>
          <t>Code review systématique avant merge (PR approuvée par un autre dev)</t>
        </is>
      </c>
      <c r="D12" s="19" t="inlineStr">
        <is>
          <t>Protected branch + required reviewer dans GitHub/GitLab</t>
        </is>
      </c>
      <c r="E12" s="24" t="inlineStr">
        <is>
          <t>🟡</t>
        </is>
      </c>
      <c r="F12" s="21" t="inlineStr">
        <is>
          <t>🤖</t>
        </is>
      </c>
      <c r="G12" s="22" t="inlineStr"/>
      <c r="H12" s="19" t="inlineStr">
        <is>
          <t>⚠️ Une review humaine reste indispensable</t>
        </is>
      </c>
      <c r="I12" s="23" t="inlineStr">
        <is>
          <t>🔧 GitHub branch protection rules (gratuit)
🤖 Claude : revue de code automatique en complément (pas en substitut)</t>
        </is>
      </c>
    </row>
    <row r="13" ht="70" customHeight="1">
      <c r="A13" s="19" t="inlineStr">
        <is>
          <t>13.9</t>
        </is>
      </c>
      <c r="B13" s="19" t="inlineStr">
        <is>
          <t>Le code livré est-il automatiquement testé avant d'arriver en prod ?</t>
        </is>
      </c>
      <c r="C13" s="19" t="inlineStr">
        <is>
          <t>Tests automatisés exécutés en CI (unitaires + intégration + e2e minimum)</t>
        </is>
      </c>
      <c r="D13" s="19" t="inlineStr">
        <is>
          <t>Pipeline CI passe les tests à chaque PR + bloque le merge si échec</t>
        </is>
      </c>
      <c r="E13" s="24" t="inlineStr">
        <is>
          <t>🟡</t>
        </is>
      </c>
      <c r="F13" s="21" t="inlineStr">
        <is>
          <t>🤖</t>
        </is>
      </c>
      <c r="G13" s="22" t="inlineStr"/>
      <c r="H13" s="19" t="inlineStr">
        <is>
          <t>⚠️ Couverture utile != couverture maximale — humain pour cibler</t>
        </is>
      </c>
      <c r="I13" s="23" t="inlineStr">
        <is>
          <t>🔧 GitHub Actions · Playwright · Jest · Vitest (gratuit)
🤖 Claude : génération de tests à partir du code</t>
        </is>
      </c>
    </row>
    <row r="14" ht="70" customHeight="1">
      <c r="A14" s="19" t="inlineStr">
        <is>
          <t>13.10</t>
        </is>
      </c>
      <c r="B14" s="19" t="inlineStr">
        <is>
          <t>Réservons-nous du temps régulier pour rembourser la dette technique ?</t>
        </is>
      </c>
      <c r="C14" s="19" t="inlineStr">
        <is>
          <t>Backlog de dette technique tenu à jour + temps alloué régulièrement</t>
        </is>
      </c>
      <c r="D14" s="19" t="inlineStr">
        <is>
          <t>Issues taguées tech-debt + revue dans les sprints</t>
        </is>
      </c>
      <c r="E14" s="25" t="inlineStr">
        <is>
          <t>🟢</t>
        </is>
      </c>
      <c r="F14" s="21" t="inlineStr">
        <is>
          <t>👤</t>
        </is>
      </c>
      <c r="G14" s="22" t="inlineStr"/>
      <c r="H14" s="19" t="inlineStr"/>
      <c r="I14" s="23" t="inlineStr">
        <is>
          <t>🔧 GitHub Issues + label · Linear · Jira
🤖 Claude : analyse du code et identification de dette technique prioritaire</t>
        </is>
      </c>
    </row>
    <row r="15" ht="70" customHeight="1">
      <c r="A15" s="19" t="inlineStr">
        <is>
          <t>13.11</t>
        </is>
      </c>
      <c r="B15" s="19" t="inlineStr">
        <is>
          <t>L'historique git est-il lisible et structuré ?</t>
        </is>
      </c>
      <c r="C15" s="19" t="inlineStr">
        <is>
          <t>Convention de commits définie (ex: Conventional Commits) et appliquée</t>
        </is>
      </c>
      <c r="D15" s="19" t="inlineStr">
        <is>
          <t>Audit des messages de commit récents</t>
        </is>
      </c>
      <c r="E15" s="25" t="inlineStr">
        <is>
          <t>🟢</t>
        </is>
      </c>
      <c r="F15" s="21" t="inlineStr">
        <is>
          <t>🤖</t>
        </is>
      </c>
      <c r="G15" s="22" t="inlineStr"/>
      <c r="H15" s="19" t="inlineStr"/>
      <c r="I15" s="23" t="inlineStr">
        <is>
          <t>🔧 commitlint (gratuit)</t>
        </is>
      </c>
    </row>
  </sheetData>
  <mergeCells count="2">
    <mergeCell ref="A1:I1"/>
    <mergeCell ref="A2:I2"/>
  </mergeCells>
  <conditionalFormatting sqref="G5:G15">
    <cfRule type="expression" priority="1" dxfId="0">
      <formula>G5="OK"</formula>
    </cfRule>
    <cfRule type="expression" priority="2" dxfId="2">
      <formula>G5="KO"</formula>
    </cfRule>
    <cfRule type="expression" priority="3" dxfId="3">
      <formula>G5="N/A"</formula>
    </cfRule>
  </conditionalFormatting>
  <dataValidations count="1">
    <dataValidation sqref="G5:G17 G5:G18 G5:G24 G5:G28" showDropDown="0" showInputMessage="0" showErrorMessage="0" allowBlank="1" errorTitle="Score invalide" error="Valeur attendue : OK, KO ou N/A" type="list">
      <formula1>"OK,KO,N/A"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2026-05-27T11:53:10Z</dcterms:created>
  <dcterms:modified xmlns:dcterms="http://purl.org/dc/terms/" xmlns:xsi="http://www.w3.org/2001/XMLSchema-instance" xsi:type="dcterms:W3CDTF">2026-05-27T11:53:10Z</dcterms:modified>
</cp:coreProperties>
</file>